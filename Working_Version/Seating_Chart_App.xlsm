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it\CS_Code\UCLA_EA_Internship\Seating_Chart_App\Working_Version\"/>
    </mc:Choice>
  </mc:AlternateContent>
  <xr:revisionPtr revIDLastSave="0" documentId="13_ncr:1_{6225CFB0-04B2-4ED6-BF6D-7CCFF4DEE863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Guest Input" sheetId="1" r:id="rId1"/>
    <sheet name="Table Assignment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" l="1"/>
  <c r="K8" i="1" s="1"/>
  <c r="K6" i="1"/>
</calcChain>
</file>

<file path=xl/sharedStrings.xml><?xml version="1.0" encoding="utf-8"?>
<sst xmlns="http://schemas.openxmlformats.org/spreadsheetml/2006/main" count="466" uniqueCount="346">
  <si>
    <t>First</t>
  </si>
  <si>
    <t>Last</t>
  </si>
  <si>
    <t>Tier</t>
  </si>
  <si>
    <t>Job/Position</t>
  </si>
  <si>
    <t>Themes</t>
  </si>
  <si>
    <t>People to Seat at Same Table</t>
  </si>
  <si>
    <t>People to Seat at Different Table</t>
  </si>
  <si>
    <t>Preffered Entrée</t>
  </si>
  <si>
    <t>TABLE DIMENSION INPUTS</t>
  </si>
  <si>
    <t>Required</t>
  </si>
  <si>
    <t>Optional</t>
  </si>
  <si>
    <t>Required (1 to 3)
1 = Most Likely to get Preffered Seating Asignment 
3 = Least Likely to get Preffered Seating Assignment</t>
  </si>
  <si>
    <t>Optional - Enter only one
Tag to strike a balance of sectoral diversity between tables
I.E: Development officers are spread across the room</t>
  </si>
  <si>
    <t>Optional - Separate multiple themes with comma
Guests with common themes sit at same table</t>
  </si>
  <si>
    <t>Optional - Separate multiple names with comma
Case-Insensitive
Please Input Full Names</t>
  </si>
  <si>
    <t>Number of Tables</t>
  </si>
  <si>
    <t>Benoit</t>
  </si>
  <si>
    <t xml:space="preserve">Faraco </t>
  </si>
  <si>
    <t>Nominee affiliate</t>
  </si>
  <si>
    <t>EJ</t>
  </si>
  <si>
    <t>Hindou Oumaru Ibrahim, Magali Delmas, Peter Kareiva</t>
  </si>
  <si>
    <t>Vegetarian</t>
  </si>
  <si>
    <t>Number of People Per Table</t>
  </si>
  <si>
    <t>Lisa</t>
  </si>
  <si>
    <t>Josefsberg</t>
  </si>
  <si>
    <t>guest</t>
  </si>
  <si>
    <t>Ken</t>
  </si>
  <si>
    <t>GF</t>
  </si>
  <si>
    <t>Elliot</t>
  </si>
  <si>
    <t>Kolin</t>
  </si>
  <si>
    <t>Number of Guests Inputted</t>
  </si>
  <si>
    <t xml:space="preserve">Tali </t>
  </si>
  <si>
    <t>Vegan</t>
  </si>
  <si>
    <t>Number of Seats Available 
(From Table Dimensions)</t>
  </si>
  <si>
    <t>Cassie</t>
  </si>
  <si>
    <t>Rauser</t>
  </si>
  <si>
    <t>UCLA staff</t>
  </si>
  <si>
    <t>Number of Empty Seats to be Added</t>
  </si>
  <si>
    <t>Erick</t>
  </si>
  <si>
    <t>Hoeck</t>
  </si>
  <si>
    <t>UCLA leadership</t>
  </si>
  <si>
    <t>Engineering</t>
  </si>
  <si>
    <t>Without Peanuts</t>
  </si>
  <si>
    <t>Orly</t>
  </si>
  <si>
    <t>Ohebsian</t>
  </si>
  <si>
    <t>Erick Hoeck, Tali Kolin</t>
  </si>
  <si>
    <t>DISPLAY OPTIONS</t>
  </si>
  <si>
    <t>Enter Y to Enable</t>
  </si>
  <si>
    <t>Amir</t>
  </si>
  <si>
    <t>Show Entrées on Chart</t>
  </si>
  <si>
    <t>Y</t>
  </si>
  <si>
    <t>Diane</t>
  </si>
  <si>
    <t>Shakin</t>
  </si>
  <si>
    <t>Show Job/Position on Chart</t>
  </si>
  <si>
    <t>Nick</t>
  </si>
  <si>
    <t>Klein</t>
  </si>
  <si>
    <t>Distribute Empty Seats between Tables</t>
  </si>
  <si>
    <t>Helen</t>
  </si>
  <si>
    <t>Lepor</t>
  </si>
  <si>
    <t>Norm</t>
  </si>
  <si>
    <t>Jennifer</t>
  </si>
  <si>
    <t>Velaise</t>
  </si>
  <si>
    <t>Ezekiel</t>
  </si>
  <si>
    <t>Schlais</t>
  </si>
  <si>
    <t>Alex</t>
  </si>
  <si>
    <t>Spataru</t>
  </si>
  <si>
    <t xml:space="preserve">Anne-Marie </t>
  </si>
  <si>
    <t>Rodney</t>
  </si>
  <si>
    <t>Franks</t>
  </si>
  <si>
    <t>Samantha</t>
  </si>
  <si>
    <t>Attwood</t>
  </si>
  <si>
    <t>Media</t>
  </si>
  <si>
    <t>Janice Min</t>
  </si>
  <si>
    <t>Justin</t>
  </si>
  <si>
    <t>D'Angona</t>
  </si>
  <si>
    <t>Brigitte</t>
  </si>
  <si>
    <t>Bren</t>
  </si>
  <si>
    <t>vip guest</t>
  </si>
  <si>
    <t>Water</t>
  </si>
  <si>
    <t>Lawrence Bender, Tony Pritzker, Brooke Sanders</t>
  </si>
  <si>
    <t>© Rohith Venkatesh
UCLA External Affairs Intern
Summer 2023</t>
  </si>
  <si>
    <t>`</t>
  </si>
  <si>
    <t xml:space="preserve">Mark </t>
  </si>
  <si>
    <t>Cappellano</t>
  </si>
  <si>
    <t>Tom Smith, Colin O'Brien-Lux, Dan Hammer</t>
  </si>
  <si>
    <t>Dan</t>
  </si>
  <si>
    <t>Hammer</t>
  </si>
  <si>
    <t>Nominee alumnus</t>
  </si>
  <si>
    <t>Data</t>
  </si>
  <si>
    <t>Varshini Prakash, Carol Sacks, Tom Smith</t>
  </si>
  <si>
    <t xml:space="preserve">Nina </t>
  </si>
  <si>
    <t>Kotick</t>
  </si>
  <si>
    <t>M. SANJAYAN</t>
  </si>
  <si>
    <t>Nominator</t>
  </si>
  <si>
    <t>Peter Kareiva</t>
  </si>
  <si>
    <t>Anastasia</t>
  </si>
  <si>
    <t>Khoo</t>
  </si>
  <si>
    <t>Lyn</t>
  </si>
  <si>
    <t>Lear</t>
  </si>
  <si>
    <t>Norman</t>
  </si>
  <si>
    <t>Lawrence Bender, Nicolas Berggruen, Daniel Weiss</t>
  </si>
  <si>
    <t>Abby</t>
  </si>
  <si>
    <t>Spring</t>
  </si>
  <si>
    <t>Julie</t>
  </si>
  <si>
    <t>Steele</t>
  </si>
  <si>
    <t>Zhan</t>
  </si>
  <si>
    <t>Li</t>
  </si>
  <si>
    <t>Luisa</t>
  </si>
  <si>
    <t>Tam</t>
  </si>
  <si>
    <t xml:space="preserve">Nuna </t>
  </si>
  <si>
    <t>Teal</t>
  </si>
  <si>
    <t>Miranda</t>
  </si>
  <si>
    <t>Wang</t>
  </si>
  <si>
    <t>Jill</t>
  </si>
  <si>
    <t>Hunting</t>
  </si>
  <si>
    <t xml:space="preserve">Lauren </t>
  </si>
  <si>
    <t>Clayton</t>
  </si>
  <si>
    <t xml:space="preserve">Nicolas </t>
  </si>
  <si>
    <t>Berggruen</t>
  </si>
  <si>
    <t>Lawrence Bender, Wendy Schmidt, Daniel Weiss</t>
  </si>
  <si>
    <t xml:space="preserve">Wendy </t>
  </si>
  <si>
    <t>Schmidt</t>
  </si>
  <si>
    <t>award judge</t>
  </si>
  <si>
    <t>Lawrence Bender, Wendy Schmidt, Megan Kissinger</t>
  </si>
  <si>
    <t>Carol</t>
  </si>
  <si>
    <t>Sacks</t>
  </si>
  <si>
    <t>Kathryn</t>
  </si>
  <si>
    <t>Sullivan</t>
  </si>
  <si>
    <t xml:space="preserve">Geof </t>
  </si>
  <si>
    <t>Rochester</t>
  </si>
  <si>
    <t xml:space="preserve">Shawn </t>
  </si>
  <si>
    <t>Escoffery</t>
  </si>
  <si>
    <t>Christa</t>
  </si>
  <si>
    <t>Hasenkopf</t>
  </si>
  <si>
    <t>Nominee</t>
  </si>
  <si>
    <t>Hindou Oumarou</t>
  </si>
  <si>
    <t>Ibrahim</t>
  </si>
  <si>
    <t>finalist</t>
  </si>
  <si>
    <t>Kira</t>
  </si>
  <si>
    <t>Sadler</t>
  </si>
  <si>
    <t>May</t>
  </si>
  <si>
    <t>Boeve</t>
  </si>
  <si>
    <t>Nik</t>
  </si>
  <si>
    <t>Strong-Cvetich</t>
  </si>
  <si>
    <t>Wright</t>
  </si>
  <si>
    <t>Varshini</t>
  </si>
  <si>
    <t>Prakash</t>
  </si>
  <si>
    <t>Andy</t>
  </si>
  <si>
    <t>Karsner</t>
  </si>
  <si>
    <t>Lawrence Bender</t>
  </si>
  <si>
    <t>David</t>
  </si>
  <si>
    <t>Biello</t>
  </si>
  <si>
    <t>David Colgan</t>
  </si>
  <si>
    <t>Jaime</t>
  </si>
  <si>
    <t>Carlson</t>
  </si>
  <si>
    <t>Energy</t>
  </si>
  <si>
    <t>Mary</t>
  </si>
  <si>
    <t>Ruckelshaus</t>
  </si>
  <si>
    <t xml:space="preserve">Ted </t>
  </si>
  <si>
    <t>Richane</t>
  </si>
  <si>
    <t xml:space="preserve">Katherine </t>
  </si>
  <si>
    <t xml:space="preserve">Keating </t>
  </si>
  <si>
    <t>Carlos</t>
  </si>
  <si>
    <t>Gutierrez</t>
  </si>
  <si>
    <t>Elizabeth</t>
  </si>
  <si>
    <t>Washburn</t>
  </si>
  <si>
    <t xml:space="preserve">Charles </t>
  </si>
  <si>
    <t>Corbett</t>
  </si>
  <si>
    <t>UCLA faculty</t>
  </si>
  <si>
    <t>Business</t>
  </si>
  <si>
    <t>Karen</t>
  </si>
  <si>
    <t>McKinnon</t>
  </si>
  <si>
    <t xml:space="preserve">Kelly </t>
  </si>
  <si>
    <t>Turner</t>
  </si>
  <si>
    <t>Kevin</t>
  </si>
  <si>
    <t>Njabo</t>
  </si>
  <si>
    <t>Forests</t>
  </si>
  <si>
    <t>Kian</t>
  </si>
  <si>
    <t>Goh</t>
  </si>
  <si>
    <t>Liz</t>
  </si>
  <si>
    <t>Koslov</t>
  </si>
  <si>
    <t xml:space="preserve">Varshini Prakash, May Boeve </t>
  </si>
  <si>
    <t>Nurit</t>
  </si>
  <si>
    <t>Katz</t>
  </si>
  <si>
    <t>Policy</t>
  </si>
  <si>
    <t xml:space="preserve">William </t>
  </si>
  <si>
    <t>Boyd</t>
  </si>
  <si>
    <t>Yifang</t>
  </si>
  <si>
    <t>Zhu</t>
  </si>
  <si>
    <t>Air</t>
  </si>
  <si>
    <t xml:space="preserve">Lawrence  </t>
  </si>
  <si>
    <t>Bender</t>
  </si>
  <si>
    <t>UCLA board member</t>
  </si>
  <si>
    <t xml:space="preserve">Tony </t>
  </si>
  <si>
    <t xml:space="preserve">Pritzker </t>
  </si>
  <si>
    <t xml:space="preserve">Winnie </t>
  </si>
  <si>
    <t>Wechsler</t>
  </si>
  <si>
    <t xml:space="preserve">Judy  </t>
  </si>
  <si>
    <t>Schroffel</t>
  </si>
  <si>
    <t xml:space="preserve">Sydney  </t>
  </si>
  <si>
    <t>Holland</t>
  </si>
  <si>
    <t xml:space="preserve">Cindy </t>
  </si>
  <si>
    <t xml:space="preserve">Montanez </t>
  </si>
  <si>
    <t xml:space="preserve">Linda  </t>
  </si>
  <si>
    <t>Duttenhaver</t>
  </si>
  <si>
    <t>Jesse</t>
  </si>
  <si>
    <t>Sisgold</t>
  </si>
  <si>
    <t>Janice</t>
  </si>
  <si>
    <t>Min</t>
  </si>
  <si>
    <t xml:space="preserve">Peter </t>
  </si>
  <si>
    <t>Sheehy</t>
  </si>
  <si>
    <t>Emily</t>
  </si>
  <si>
    <t>Carter</t>
  </si>
  <si>
    <t>Megan Kissinger, Tony Pritzker, Katherine Sullivan</t>
  </si>
  <si>
    <t>Michael</t>
  </si>
  <si>
    <t>Beck</t>
  </si>
  <si>
    <t>Kareiva</t>
  </si>
  <si>
    <t xml:space="preserve">Brooke </t>
  </si>
  <si>
    <t>Sanders</t>
  </si>
  <si>
    <t>UCLA development</t>
  </si>
  <si>
    <t>Megan</t>
  </si>
  <si>
    <t>Kissinger</t>
  </si>
  <si>
    <t>Sharon</t>
  </si>
  <si>
    <t>Chang</t>
  </si>
  <si>
    <t>Noah</t>
  </si>
  <si>
    <t>Garrison</t>
  </si>
  <si>
    <t>Cully</t>
  </si>
  <si>
    <t>Nordby</t>
  </si>
  <si>
    <t>Magali</t>
  </si>
  <si>
    <t>Delmas</t>
  </si>
  <si>
    <t>Madelyn</t>
  </si>
  <si>
    <t>Glickfeld</t>
  </si>
  <si>
    <t>Colgan</t>
  </si>
  <si>
    <t>Paul</t>
  </si>
  <si>
    <t>Stainer</t>
  </si>
  <si>
    <t>ucla student</t>
  </si>
  <si>
    <t>Alexandria</t>
  </si>
  <si>
    <t>Herr</t>
  </si>
  <si>
    <t>Will</t>
  </si>
  <si>
    <t>Krantz</t>
  </si>
  <si>
    <t xml:space="preserve">Danielle </t>
  </si>
  <si>
    <t>Hoague</t>
  </si>
  <si>
    <t>Noam</t>
  </si>
  <si>
    <t>Rosenthal</t>
  </si>
  <si>
    <t>Viraj</t>
  </si>
  <si>
    <t>Sawant</t>
  </si>
  <si>
    <t>Guest Names, Job/Position, Preferred Entree</t>
  </si>
  <si>
    <t>Table Number</t>
  </si>
  <si>
    <t>Empty Seat 1</t>
  </si>
  <si>
    <t>Brigitte Bren, vip guest</t>
  </si>
  <si>
    <t>Lawrence Bender, UCLA board member</t>
  </si>
  <si>
    <t>Norman Lear, vip guest</t>
  </si>
  <si>
    <t>Nicolas Berggruen, vip guest</t>
  </si>
  <si>
    <t>Wendy Schmidt, award judge</t>
  </si>
  <si>
    <t>Tony Pritzker, UCLA board member</t>
  </si>
  <si>
    <t>Emily Carter</t>
  </si>
  <si>
    <t>Megan Kissinger, UCLA development</t>
  </si>
  <si>
    <t>Andy Karsner, Nominator</t>
  </si>
  <si>
    <t>Empty Seat 2</t>
  </si>
  <si>
    <t>Benoit Faraco, Nominee affiliate, VEGETARIAN</t>
  </si>
  <si>
    <t>M. Sanjayan, Nominator</t>
  </si>
  <si>
    <t>Magali Delmas</t>
  </si>
  <si>
    <t>Shawn Escoffery, award judge</t>
  </si>
  <si>
    <t>Hindou Oumarou Ibrahim, finalist</t>
  </si>
  <si>
    <t>Liz Koslov, UCLA faculty</t>
  </si>
  <si>
    <t>May Boeve, finalist</t>
  </si>
  <si>
    <t>Varshini Prakash, finalist</t>
  </si>
  <si>
    <t>Empty Seat 3</t>
  </si>
  <si>
    <t>Samantha Attwood</t>
  </si>
  <si>
    <t>Janice Min, UCLA board member</t>
  </si>
  <si>
    <t>Peter Sheehy</t>
  </si>
  <si>
    <t>Samantha Wright, Nominee</t>
  </si>
  <si>
    <t>David Biello, Nominator</t>
  </si>
  <si>
    <t>Ted Richane, Nominator</t>
  </si>
  <si>
    <t>Jesse Sisgold, UCLA board member</t>
  </si>
  <si>
    <t>Lisa Josefsberg, guest</t>
  </si>
  <si>
    <t>Empty Seat 4</t>
  </si>
  <si>
    <t>Mark Cappellano, vip guest</t>
  </si>
  <si>
    <t>Dan Hammer, Nominee alumnus</t>
  </si>
  <si>
    <t>Carol Sacks</t>
  </si>
  <si>
    <t>Kathryn Sullivan, award judge</t>
  </si>
  <si>
    <t>Kian Goh, UCLA faculty</t>
  </si>
  <si>
    <t>Ken Josefsberg, guest, GF</t>
  </si>
  <si>
    <t>Cassie Rauser, UCLA staff</t>
  </si>
  <si>
    <t>Erick Hoeck, UCLA leadership, WITHOUT PEANUTS</t>
  </si>
  <si>
    <t>Carlos Gutierrez, Nominator</t>
  </si>
  <si>
    <t>Empty Seat 5</t>
  </si>
  <si>
    <t>Lyn Lear, vip guest</t>
  </si>
  <si>
    <t>Elliot Kolin</t>
  </si>
  <si>
    <t>Ezekiel Schlais, guest</t>
  </si>
  <si>
    <t>Miranda Wang, Nominee alumnus</t>
  </si>
  <si>
    <t>Will Krantz, ucla student</t>
  </si>
  <si>
    <t>Alex Spataru</t>
  </si>
  <si>
    <t>Justin D'Angona</t>
  </si>
  <si>
    <t>Julie Steele</t>
  </si>
  <si>
    <t>Geof Rochester, award judge</t>
  </si>
  <si>
    <t>Empty Seat 6</t>
  </si>
  <si>
    <t>Lauren Clayton</t>
  </si>
  <si>
    <t>Christa Hasenkopf, Nominee</t>
  </si>
  <si>
    <t>Jaime Carlson, Nominator</t>
  </si>
  <si>
    <t>Charles Corbett, UCLA faculty</t>
  </si>
  <si>
    <t>Winnie Wechsler, UCLA board member</t>
  </si>
  <si>
    <t>Brooke Sanders, UCLA development</t>
  </si>
  <si>
    <t>Paul Stainer, ucla student</t>
  </si>
  <si>
    <t>Tali Kolin, , VEGAN</t>
  </si>
  <si>
    <t>Kira Sadler, Nominee</t>
  </si>
  <si>
    <t>Empty Seat 7</t>
  </si>
  <si>
    <t>Linda Duttenhaver, UCLA board member</t>
  </si>
  <si>
    <t>Kevin Njabo, UCLA faculty</t>
  </si>
  <si>
    <t>Orly Ohebsian</t>
  </si>
  <si>
    <t>Nik Strong-Cvetich, Nominee</t>
  </si>
  <si>
    <t>Mary Ruckelshaus, Nominator</t>
  </si>
  <si>
    <t>Sharon Chang, UCLA development</t>
  </si>
  <si>
    <t>Alexandria Herr, ucla student</t>
  </si>
  <si>
    <t>Anne-Marie Spataru</t>
  </si>
  <si>
    <t>Cindy Montanez, UCLA board member</t>
  </si>
  <si>
    <t>Michael Beck</t>
  </si>
  <si>
    <t>Nurit Katz, UCLA faculty</t>
  </si>
  <si>
    <t>Noam Rosenthal, ucla student</t>
  </si>
  <si>
    <t>William Boyd, UCLA faculty</t>
  </si>
  <si>
    <t>Katherine Keating, Nominator</t>
  </si>
  <si>
    <t>Sydney Holland, UCLA board member</t>
  </si>
  <si>
    <t>Amir Ohebsian</t>
  </si>
  <si>
    <t>Elizabeth Washburn, Nominator</t>
  </si>
  <si>
    <t>Danielle Hoague, ucla student</t>
  </si>
  <si>
    <t>Rodney Franks</t>
  </si>
  <si>
    <t>Diane Shakin</t>
  </si>
  <si>
    <t>Karen Mckinnon, UCLA faculty</t>
  </si>
  <si>
    <t>Viraj Sawant, ucla student</t>
  </si>
  <si>
    <t>Yifang Zhu, UCLA faculty</t>
  </si>
  <si>
    <t>Nick Klein</t>
  </si>
  <si>
    <t>Helen Lepor</t>
  </si>
  <si>
    <t>Kelly Turner, UCLA faculty</t>
  </si>
  <si>
    <t>Norm Lepor</t>
  </si>
  <si>
    <t>Jennifer Velaise</t>
  </si>
  <si>
    <t>Nina Kotick</t>
  </si>
  <si>
    <t>Zhan Li</t>
  </si>
  <si>
    <t>Anastasia Khoo</t>
  </si>
  <si>
    <t>Abby Spring</t>
  </si>
  <si>
    <t>Luisa Tam</t>
  </si>
  <si>
    <t>Nuna Teal</t>
  </si>
  <si>
    <t>Jill Hunting</t>
  </si>
  <si>
    <t>Judy Schroffel</t>
  </si>
  <si>
    <t>Noah Garrison</t>
  </si>
  <si>
    <t>Cully Nordby</t>
  </si>
  <si>
    <t>Madelyn Glickfeld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</si>
</sst>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24"/>
      <color rgb="FF00000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</font>
    <font>
      <b/>
      <sz val="12"/>
      <color rgb="FF000000"/>
      <name val="Calibri"/>
      <family val="2"/>
      <scheme val="minor"/>
    </font>
    <font>
      <b/>
      <sz val="11"/>
      <name val="Calibri"/>
      <family val="2"/>
    </font>
    <font>
      <b/>
      <sz val="26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i/>
      <sz val="1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wrapText="1"/>
    </xf>
    <xf numFmtId="0" fontId="0" fillId="4" borderId="8" xfId="0" applyFill="1" applyBorder="1" applyAlignment="1">
      <alignment vertical="center" wrapText="1"/>
    </xf>
    <xf numFmtId="0" fontId="0" fillId="4" borderId="3" xfId="0" applyFill="1" applyBorder="1" applyAlignment="1">
      <alignment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center" wrapText="1"/>
    </xf>
    <xf numFmtId="0" fontId="4" fillId="3" borderId="23" xfId="0" applyFont="1" applyFill="1" applyBorder="1" applyAlignment="1">
      <alignment wrapText="1"/>
    </xf>
    <xf numFmtId="0" fontId="4" fillId="3" borderId="22" xfId="0" applyFont="1" applyFill="1" applyBorder="1" applyAlignment="1">
      <alignment wrapText="1"/>
    </xf>
    <xf numFmtId="0" fontId="4" fillId="3" borderId="11" xfId="0" applyFont="1" applyFill="1" applyBorder="1" applyAlignment="1">
      <alignment wrapText="1"/>
    </xf>
    <xf numFmtId="0" fontId="9" fillId="0" borderId="0" xfId="0" applyFont="1" applyAlignment="1">
      <alignment horizontal="center" wrapText="1"/>
    </xf>
    <xf numFmtId="0" fontId="4" fillId="3" borderId="10" xfId="0" applyFont="1" applyFill="1" applyBorder="1" applyAlignment="1">
      <alignment vertical="center" wrapText="1"/>
    </xf>
    <xf numFmtId="0" fontId="4" fillId="3" borderId="11" xfId="0" applyFont="1" applyFill="1" applyBorder="1" applyAlignment="1">
      <alignment vertical="center" wrapText="1"/>
    </xf>
    <xf numFmtId="0" fontId="0" fillId="4" borderId="13" xfId="0" applyFill="1" applyBorder="1" applyAlignment="1">
      <alignment vertical="center" wrapText="1"/>
    </xf>
    <xf numFmtId="0" fontId="0" fillId="4" borderId="2" xfId="0" applyFill="1" applyBorder="1" applyAlignment="1">
      <alignment vertical="center" wrapText="1"/>
    </xf>
    <xf numFmtId="0" fontId="4" fillId="2" borderId="4" xfId="0" applyFont="1" applyFill="1" applyBorder="1" applyAlignment="1">
      <alignment wrapText="1"/>
    </xf>
    <xf numFmtId="0" fontId="4" fillId="2" borderId="4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wrapText="1"/>
    </xf>
    <xf numFmtId="0" fontId="2" fillId="3" borderId="5" xfId="0" applyFont="1" applyFill="1" applyBorder="1" applyAlignment="1">
      <alignment wrapText="1"/>
    </xf>
    <xf numFmtId="0" fontId="2" fillId="3" borderId="7" xfId="0" applyFont="1" applyFill="1" applyBorder="1" applyAlignment="1">
      <alignment wrapText="1"/>
    </xf>
    <xf numFmtId="0" fontId="5" fillId="0" borderId="0" xfId="0" applyFont="1" applyAlignment="1" applyProtection="1">
      <alignment wrapText="1"/>
      <protection locked="0"/>
    </xf>
    <xf numFmtId="0" fontId="0" fillId="0" borderId="3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6" fillId="3" borderId="16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0" fontId="7" fillId="3" borderId="16" xfId="0" applyFont="1" applyFill="1" applyBorder="1" applyAlignment="1">
      <alignment horizontal="center" wrapText="1"/>
    </xf>
    <xf numFmtId="0" fontId="3" fillId="3" borderId="17" xfId="0" applyFont="1" applyFill="1" applyBorder="1" applyAlignment="1">
      <alignment horizontal="center" vertical="top" wrapText="1"/>
    </xf>
    <xf numFmtId="0" fontId="3" fillId="3" borderId="18" xfId="0" applyFont="1" applyFill="1" applyBorder="1" applyAlignment="1">
      <alignment horizontal="center" vertical="top" wrapText="1"/>
    </xf>
    <xf numFmtId="0" fontId="2" fillId="0" borderId="12" xfId="0" applyFont="1" applyBorder="1" applyAlignment="1" applyProtection="1">
      <alignment vertical="center" wrapText="1"/>
      <protection locked="0"/>
    </xf>
    <xf numFmtId="0" fontId="2" fillId="0" borderId="9" xfId="0" applyFont="1" applyBorder="1" applyAlignment="1" applyProtection="1">
      <alignment vertical="center" wrapText="1"/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wrapText="1"/>
      <protection locked="0"/>
    </xf>
    <xf numFmtId="0" fontId="10" fillId="0" borderId="0" xfId="0" applyFont="1" applyProtection="1">
      <protection locked="0"/>
    </xf>
    <xf numFmtId="0" fontId="8" fillId="0" borderId="24" xfId="0" applyFont="1" applyBorder="1" applyAlignment="1" applyProtection="1">
      <alignment horizontal="right" wrapText="1"/>
      <protection locked="0"/>
    </xf>
    <xf numFmtId="0" fontId="8" fillId="0" borderId="21" xfId="0" applyFont="1" applyBorder="1" applyAlignment="1" applyProtection="1">
      <alignment horizontal="right" wrapText="1"/>
      <protection locked="0"/>
    </xf>
    <xf numFmtId="0" fontId="8" fillId="0" borderId="9" xfId="0" applyFont="1" applyBorder="1" applyAlignment="1" applyProtection="1">
      <alignment horizontal="right" wrapText="1"/>
      <protection locked="0"/>
    </xf>
    <xf numFmtId="0" fontId="11" fillId="0" borderId="0" xfId="0" applyFont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0" fillId="0" borderId="14" xfId="0" applyBorder="1"/>
    <xf numFmtId="0" fontId="9" fillId="0" borderId="19" xfId="0" applyFont="1" applyBorder="1" applyAlignment="1">
      <alignment horizontal="center" wrapText="1"/>
    </xf>
    <xf numFmtId="0" fontId="0" fillId="0" borderId="8" xfId="0" applyBorder="1"/>
    <xf numFmtId="0" fontId="0" fillId="0" borderId="25" xfId="0" applyBorder="1"/>
    <xf numFmtId="0" fontId="0" fillId="0" borderId="2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Assignments'!$A$2:$A$11</c:f>
              <c:strCache>
                <c:ptCount val="10"/>
                <c:pt idx="0">
                  <c:v>Empty Seat 1</c:v>
                </c:pt>
                <c:pt idx="1">
                  <c:v>Brigitte Bren, vip guest</c:v>
                </c:pt>
                <c:pt idx="2">
                  <c:v>Lawrence Bender, UCLA board member</c:v>
                </c:pt>
                <c:pt idx="3">
                  <c:v>Norman Lear, vip guest</c:v>
                </c:pt>
                <c:pt idx="4">
                  <c:v>Nicolas Berggruen, vip guest</c:v>
                </c:pt>
                <c:pt idx="5">
                  <c:v>Wendy Schmidt, award judge</c:v>
                </c:pt>
                <c:pt idx="6">
                  <c:v>Tony Pritzker, UCLA board member</c:v>
                </c:pt>
                <c:pt idx="7">
                  <c:v>Emily Carter</c:v>
                </c:pt>
                <c:pt idx="8">
                  <c:v>Megan Kissinger, UCLA development</c:v>
                </c:pt>
                <c:pt idx="9">
                  <c:v>Andy Karsner, Nominator</c:v>
                </c:pt>
              </c:strCache>
            </c:strRef>
          </c:cat>
          <c:val>
            <c:numRef>
              <c:f>'Table Assignments'!$B$2:$B$11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2E-48DC-B73D-EB2386585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Assignments'!$A$14:$A$23</c:f>
              <c:strCache>
                <c:ptCount val="10"/>
                <c:pt idx="0">
                  <c:v>Empty Seat 2</c:v>
                </c:pt>
                <c:pt idx="1">
                  <c:v>Benoit Faraco, Nominee affiliate, VEGETARIAN</c:v>
                </c:pt>
                <c:pt idx="2">
                  <c:v>Peter Kareiva</c:v>
                </c:pt>
                <c:pt idx="3">
                  <c:v>M. Sanjayan, Nominator</c:v>
                </c:pt>
                <c:pt idx="4">
                  <c:v>Magali Delmas</c:v>
                </c:pt>
                <c:pt idx="5">
                  <c:v>Shawn Escoffery, award judge</c:v>
                </c:pt>
                <c:pt idx="6">
                  <c:v>Hindou Oumarou Ibrahim, finalist</c:v>
                </c:pt>
                <c:pt idx="7">
                  <c:v>Liz Koslov, UCLA faculty</c:v>
                </c:pt>
                <c:pt idx="8">
                  <c:v>May Boeve, finalist</c:v>
                </c:pt>
                <c:pt idx="9">
                  <c:v>Varshini Prakash, finalist</c:v>
                </c:pt>
              </c:strCache>
            </c:strRef>
          </c:cat>
          <c:val>
            <c:numRef>
              <c:f>'Table Assignments'!$B$14:$B$23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D-4860-90EF-0557212A7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Assignments'!$A$26:$A$35</c:f>
              <c:strCache>
                <c:ptCount val="10"/>
                <c:pt idx="0">
                  <c:v>Empty Seat 3</c:v>
                </c:pt>
                <c:pt idx="1">
                  <c:v>Samantha Attwood</c:v>
                </c:pt>
                <c:pt idx="2">
                  <c:v>Janice Min, UCLA board member</c:v>
                </c:pt>
                <c:pt idx="3">
                  <c:v>Peter Sheehy</c:v>
                </c:pt>
                <c:pt idx="4">
                  <c:v>Samantha Wright, Nominee</c:v>
                </c:pt>
                <c:pt idx="5">
                  <c:v>David Biello, Nominator</c:v>
                </c:pt>
                <c:pt idx="6">
                  <c:v>David Colgan</c:v>
                </c:pt>
                <c:pt idx="7">
                  <c:v>Ted Richane, Nominator</c:v>
                </c:pt>
                <c:pt idx="8">
                  <c:v>Jesse Sisgold, UCLA board member</c:v>
                </c:pt>
                <c:pt idx="9">
                  <c:v>Lisa Josefsberg, guest</c:v>
                </c:pt>
              </c:strCache>
            </c:strRef>
          </c:cat>
          <c:val>
            <c:numRef>
              <c:f>'Table Assignments'!$B$26:$B$35</c:f>
              <c:numCache>
                <c:formatCode>General</c:formatCode>
                <c:ptCount val="1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EC-4368-8F1D-99CF22A12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Assignments'!$A$38:$A$47</c:f>
              <c:strCache>
                <c:ptCount val="10"/>
                <c:pt idx="0">
                  <c:v>Empty Seat 4</c:v>
                </c:pt>
                <c:pt idx="1">
                  <c:v>Mark Cappellano, vip guest</c:v>
                </c:pt>
                <c:pt idx="2">
                  <c:v>Dan Hammer, Nominee alumnus</c:v>
                </c:pt>
                <c:pt idx="3">
                  <c:v>Carol Sacks</c:v>
                </c:pt>
                <c:pt idx="4">
                  <c:v>Kathryn Sullivan, award judge</c:v>
                </c:pt>
                <c:pt idx="5">
                  <c:v>Kian Goh, UCLA faculty</c:v>
                </c:pt>
                <c:pt idx="6">
                  <c:v>Ken Josefsberg, guest, GF</c:v>
                </c:pt>
                <c:pt idx="7">
                  <c:v>Cassie Rauser, UCLA staff</c:v>
                </c:pt>
                <c:pt idx="8">
                  <c:v>Erick Hoeck, UCLA leadership, WITHOUT PEANUTS</c:v>
                </c:pt>
                <c:pt idx="9">
                  <c:v>Carlos Gutierrez, Nominator</c:v>
                </c:pt>
              </c:strCache>
            </c:strRef>
          </c:cat>
          <c:val>
            <c:numRef>
              <c:f>'Table Assignments'!$B$38:$B$47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7A-4B44-A281-54689CCCF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5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Assignments'!$A$50:$A$59</c:f>
              <c:strCache>
                <c:ptCount val="10"/>
                <c:pt idx="0">
                  <c:v>Empty Seat 5</c:v>
                </c:pt>
                <c:pt idx="1">
                  <c:v>Lyn Lear, vip guest</c:v>
                </c:pt>
                <c:pt idx="2">
                  <c:v>Elliot Kolin</c:v>
                </c:pt>
                <c:pt idx="3">
                  <c:v>Ezekiel Schlais, guest</c:v>
                </c:pt>
                <c:pt idx="4">
                  <c:v>Miranda Wang, Nominee alumnus</c:v>
                </c:pt>
                <c:pt idx="5">
                  <c:v>Will Krantz, ucla student</c:v>
                </c:pt>
                <c:pt idx="6">
                  <c:v>Alex Spataru</c:v>
                </c:pt>
                <c:pt idx="7">
                  <c:v>Justin D'Angona</c:v>
                </c:pt>
                <c:pt idx="8">
                  <c:v>Julie Steele</c:v>
                </c:pt>
                <c:pt idx="9">
                  <c:v>Geof Rochester, award judge</c:v>
                </c:pt>
              </c:strCache>
            </c:strRef>
          </c:cat>
          <c:val>
            <c:numRef>
              <c:f>'Table Assignments'!$B$50:$B$59</c:f>
              <c:numCache>
                <c:formatCode>General</c:formatCode>
                <c:ptCount val="1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BE-498D-850F-4244A9C02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6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Assignments'!$A$62:$A$71</c:f>
              <c:strCache>
                <c:ptCount val="10"/>
                <c:pt idx="0">
                  <c:v>Empty Seat 6</c:v>
                </c:pt>
                <c:pt idx="1">
                  <c:v>Lauren Clayton</c:v>
                </c:pt>
                <c:pt idx="2">
                  <c:v>Christa Hasenkopf, Nominee</c:v>
                </c:pt>
                <c:pt idx="3">
                  <c:v>Jaime Carlson, Nominator</c:v>
                </c:pt>
                <c:pt idx="4">
                  <c:v>Charles Corbett, UCLA faculty</c:v>
                </c:pt>
                <c:pt idx="5">
                  <c:v>Winnie Wechsler, UCLA board member</c:v>
                </c:pt>
                <c:pt idx="6">
                  <c:v>Brooke Sanders, UCLA development</c:v>
                </c:pt>
                <c:pt idx="7">
                  <c:v>Paul Stainer, ucla student</c:v>
                </c:pt>
                <c:pt idx="8">
                  <c:v>Tali Kolin, , VEGAN</c:v>
                </c:pt>
                <c:pt idx="9">
                  <c:v>Kira Sadler, Nominee</c:v>
                </c:pt>
              </c:strCache>
            </c:strRef>
          </c:cat>
          <c:val>
            <c:numRef>
              <c:f>'Table Assignments'!$B$62:$B$71</c:f>
              <c:numCache>
                <c:formatCode>General</c:formatCode>
                <c:ptCount val="1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29-4A45-BBD2-88625619A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7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Assignments'!$A$74:$A$83</c:f>
              <c:strCache>
                <c:ptCount val="10"/>
                <c:pt idx="0">
                  <c:v>Empty Seat 7</c:v>
                </c:pt>
                <c:pt idx="1">
                  <c:v>Linda Duttenhaver, UCLA board member</c:v>
                </c:pt>
                <c:pt idx="2">
                  <c:v>Kevin Njabo, UCLA faculty</c:v>
                </c:pt>
                <c:pt idx="3">
                  <c:v>Orly Ohebsian</c:v>
                </c:pt>
                <c:pt idx="4">
                  <c:v>Nik Strong-Cvetich, Nominee</c:v>
                </c:pt>
                <c:pt idx="5">
                  <c:v>Mary Ruckelshaus, Nominator</c:v>
                </c:pt>
                <c:pt idx="6">
                  <c:v>Sharon Chang, UCLA development</c:v>
                </c:pt>
                <c:pt idx="7">
                  <c:v>Alexandria Herr, ucla student</c:v>
                </c:pt>
                <c:pt idx="8">
                  <c:v>Anne-Marie Spataru</c:v>
                </c:pt>
                <c:pt idx="9">
                  <c:v>Cindy Montanez, UCLA board member</c:v>
                </c:pt>
              </c:strCache>
            </c:strRef>
          </c:cat>
          <c:val>
            <c:numRef>
              <c:f>'Table Assignments'!$B$74:$B$83</c:f>
              <c:numCache>
                <c:formatCode>General</c:formatCode>
                <c:ptCount val="1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F8-4875-A3EE-E50D703A9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8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Assignments'!$A$86:$A$95</c:f>
              <c:strCache>
                <c:ptCount val="10"/>
                <c:pt idx="0">
                  <c:v>Michael Beck</c:v>
                </c:pt>
                <c:pt idx="1">
                  <c:v>Nurit Katz, UCLA faculty</c:v>
                </c:pt>
                <c:pt idx="2">
                  <c:v>Noam Rosenthal, ucla student</c:v>
                </c:pt>
                <c:pt idx="3">
                  <c:v>William Boyd, UCLA faculty</c:v>
                </c:pt>
                <c:pt idx="4">
                  <c:v>Katherine Keating, Nominator</c:v>
                </c:pt>
                <c:pt idx="5">
                  <c:v>Sydney Holland, UCLA board member</c:v>
                </c:pt>
                <c:pt idx="6">
                  <c:v>Amir Ohebsian</c:v>
                </c:pt>
                <c:pt idx="7">
                  <c:v>Elizabeth Washburn, Nominator</c:v>
                </c:pt>
                <c:pt idx="8">
                  <c:v>Danielle Hoague, ucla student</c:v>
                </c:pt>
                <c:pt idx="9">
                  <c:v>Rodney Franks</c:v>
                </c:pt>
              </c:strCache>
            </c:strRef>
          </c:cat>
          <c:val>
            <c:numRef>
              <c:f>'Table Assignments'!$B$86:$B$95</c:f>
              <c:numCache>
                <c:formatCode>General</c:formatCode>
                <c:ptCount val="10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00-4070-B7AE-5680123F1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9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Assignments'!$A$98:$A$107</c:f>
              <c:strCache>
                <c:ptCount val="10"/>
                <c:pt idx="0">
                  <c:v>Diane Shakin</c:v>
                </c:pt>
                <c:pt idx="1">
                  <c:v>Karen Mckinnon, UCLA faculty</c:v>
                </c:pt>
                <c:pt idx="2">
                  <c:v>Viraj Sawant, ucla student</c:v>
                </c:pt>
                <c:pt idx="3">
                  <c:v>Yifang Zhu, UCLA faculty</c:v>
                </c:pt>
                <c:pt idx="4">
                  <c:v>Nick Klein</c:v>
                </c:pt>
                <c:pt idx="5">
                  <c:v>Helen Lepor</c:v>
                </c:pt>
                <c:pt idx="6">
                  <c:v>Kelly Turner, UCLA faculty</c:v>
                </c:pt>
                <c:pt idx="7">
                  <c:v>Norm Lepor</c:v>
                </c:pt>
                <c:pt idx="8">
                  <c:v>Jennifer Velaise</c:v>
                </c:pt>
                <c:pt idx="9">
                  <c:v>Nina Kotick</c:v>
                </c:pt>
              </c:strCache>
            </c:strRef>
          </c:cat>
          <c:val>
            <c:numRef>
              <c:f>'Table Assignments'!$B$98:$B$107</c:f>
              <c:numCache>
                <c:formatCode>General</c:formatCode>
                <c:ptCount val="1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B5-4E90-A183-A53A23FA7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10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Assignments'!$A$110:$A$119</c:f>
              <c:strCache>
                <c:ptCount val="10"/>
                <c:pt idx="0">
                  <c:v>Zhan Li</c:v>
                </c:pt>
                <c:pt idx="1">
                  <c:v>Anastasia Khoo</c:v>
                </c:pt>
                <c:pt idx="2">
                  <c:v>Abby Spring</c:v>
                </c:pt>
                <c:pt idx="3">
                  <c:v>Luisa Tam</c:v>
                </c:pt>
                <c:pt idx="4">
                  <c:v>Nuna Teal</c:v>
                </c:pt>
                <c:pt idx="5">
                  <c:v>Jill Hunting</c:v>
                </c:pt>
                <c:pt idx="6">
                  <c:v>Judy Schroffel</c:v>
                </c:pt>
                <c:pt idx="7">
                  <c:v>Noah Garrison</c:v>
                </c:pt>
                <c:pt idx="8">
                  <c:v>Cully Nordby</c:v>
                </c:pt>
                <c:pt idx="9">
                  <c:v>Madelyn Glickfeld</c:v>
                </c:pt>
              </c:strCache>
            </c:strRef>
          </c:cat>
          <c:val>
            <c:numRef>
              <c:f>'Table Assignments'!$B$110:$B$119</c:f>
              <c:numCache>
                <c:formatCode>General</c:formatCode>
                <c:ptCount val="1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46-400A-AE3C-CE6190FC1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15</xdr:row>
          <xdr:rowOff>31750</xdr:rowOff>
        </xdr:from>
        <xdr:to>
          <xdr:col>11</xdr:col>
          <xdr:colOff>298450</xdr:colOff>
          <xdr:row>21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8ECDBF3-384E-821E-9D0F-6FD6472E09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TABLE ASSIGNMENTS</a:t>
              </a:r>
              <a:endParaRPr lang="en-US" sz="2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800" b="0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(Save workbook before clicking button)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279400</xdr:colOff>
      <xdr:row>5</xdr:row>
      <xdr:rowOff>31750</xdr:rowOff>
    </xdr:from>
    <xdr:to>
      <xdr:col>11</xdr:col>
      <xdr:colOff>165100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45F280-32EE-AE09-DE90-0E0EE78469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279400</xdr:colOff>
      <xdr:row>22</xdr:row>
      <xdr:rowOff>12700</xdr:rowOff>
    </xdr:from>
    <xdr:to>
      <xdr:col>11</xdr:col>
      <xdr:colOff>165100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79061D-43B4-F8D1-7CB0-E8B41677EF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279400</xdr:colOff>
      <xdr:row>38</xdr:row>
      <xdr:rowOff>177800</xdr:rowOff>
    </xdr:from>
    <xdr:to>
      <xdr:col>11</xdr:col>
      <xdr:colOff>165100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AE525F7-56E6-3F99-6EF7-6C11EAFB76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279400</xdr:colOff>
      <xdr:row>55</xdr:row>
      <xdr:rowOff>158750</xdr:rowOff>
    </xdr:from>
    <xdr:to>
      <xdr:col>11</xdr:col>
      <xdr:colOff>165100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D2011FB-B131-6E70-9ABF-46C921070A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279400</xdr:colOff>
      <xdr:row>72</xdr:row>
      <xdr:rowOff>139700</xdr:rowOff>
    </xdr:from>
    <xdr:to>
      <xdr:col>11</xdr:col>
      <xdr:colOff>165100</xdr:colOff>
      <xdr:row>88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C021620-AF88-17BF-7D1B-AD28558025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279400</xdr:colOff>
      <xdr:row>89</xdr:row>
      <xdr:rowOff>120650</xdr:rowOff>
    </xdr:from>
    <xdr:to>
      <xdr:col>11</xdr:col>
      <xdr:colOff>165100</xdr:colOff>
      <xdr:row>105</xdr:row>
      <xdr:rowOff>31750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0D3EE2-5DF3-2BCD-E614-33F12800B6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279400</xdr:colOff>
      <xdr:row>106</xdr:row>
      <xdr:rowOff>101600</xdr:rowOff>
    </xdr:from>
    <xdr:to>
      <xdr:col>11</xdr:col>
      <xdr:colOff>165100</xdr:colOff>
      <xdr:row>122</xdr:row>
      <xdr:rowOff>12700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0B4620E-41FD-13F3-0F2C-F90C17B157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279400</xdr:colOff>
      <xdr:row>123</xdr:row>
      <xdr:rowOff>82550</xdr:rowOff>
    </xdr:from>
    <xdr:to>
      <xdr:col>11</xdr:col>
      <xdr:colOff>165100</xdr:colOff>
      <xdr:row>138</xdr:row>
      <xdr:rowOff>177800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F7C283A-F8CE-0081-A2E0-CE22D17852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279400</xdr:colOff>
      <xdr:row>140</xdr:row>
      <xdr:rowOff>63500</xdr:rowOff>
    </xdr:from>
    <xdr:to>
      <xdr:col>11</xdr:col>
      <xdr:colOff>165100</xdr:colOff>
      <xdr:row>155</xdr:row>
      <xdr:rowOff>158750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A47760E-3B46-6618-0682-1E4169F7E4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279400</xdr:colOff>
      <xdr:row>157</xdr:row>
      <xdr:rowOff>44450</xdr:rowOff>
    </xdr:from>
    <xdr:to>
      <xdr:col>11</xdr:col>
      <xdr:colOff>165100</xdr:colOff>
      <xdr:row>172</xdr:row>
      <xdr:rowOff>139700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93CE15B-3DDD-03C0-8E90-48B06FA30D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5"/>
  <sheetViews>
    <sheetView tabSelected="1" topLeftCell="D1" zoomScale="40" zoomScaleNormal="40" workbookViewId="0">
      <selection activeCell="H14" sqref="H14"/>
    </sheetView>
  </sheetViews>
  <sheetFormatPr defaultColWidth="0" defaultRowHeight="14.5"/>
  <cols>
    <col min="1" max="1" width="29.08984375" style="22" customWidth="1"/>
    <col min="2" max="2" width="32.6328125" style="21" customWidth="1"/>
    <col min="3" max="3" width="59.7265625" style="21" customWidth="1"/>
    <col min="4" max="4" width="67.54296875" style="21" customWidth="1"/>
    <col min="5" max="5" width="57.54296875" style="21" customWidth="1"/>
    <col min="6" max="6" width="66.90625" style="21" customWidth="1"/>
    <col min="7" max="7" width="61.81640625" style="21" customWidth="1"/>
    <col min="8" max="8" width="43" style="20" customWidth="1"/>
    <col min="9" max="9" width="8.7265625" style="1" customWidth="1"/>
    <col min="10" max="10" width="38.36328125" style="1" customWidth="1"/>
    <col min="11" max="11" width="21.7265625" style="1" customWidth="1"/>
    <col min="12" max="13" width="8.7265625" style="1" customWidth="1"/>
    <col min="14" max="102" width="8.7265625" style="1" hidden="1" customWidth="1"/>
    <col min="103" max="16384" width="8.7265625" style="1" hidden="1"/>
  </cols>
  <sheetData>
    <row r="1" spans="1:11" ht="39.5" customHeight="1" thickBot="1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4" t="s">
        <v>5</v>
      </c>
      <c r="G1" s="23" t="s">
        <v>6</v>
      </c>
      <c r="H1" s="25" t="s">
        <v>7</v>
      </c>
      <c r="J1" s="37" t="s">
        <v>8</v>
      </c>
      <c r="K1" s="38"/>
    </row>
    <row r="2" spans="1:11" ht="78" customHeight="1" thickBot="1">
      <c r="A2" s="26" t="s">
        <v>9</v>
      </c>
      <c r="B2" s="26" t="s">
        <v>10</v>
      </c>
      <c r="C2" s="26" t="s">
        <v>11</v>
      </c>
      <c r="D2" s="26" t="s">
        <v>12</v>
      </c>
      <c r="E2" s="26" t="s">
        <v>13</v>
      </c>
      <c r="F2" s="27" t="s">
        <v>14</v>
      </c>
      <c r="G2" s="26" t="s">
        <v>14</v>
      </c>
      <c r="H2" s="26" t="s">
        <v>10</v>
      </c>
      <c r="J2" s="10" t="s">
        <v>15</v>
      </c>
      <c r="K2" s="28">
        <v>10</v>
      </c>
    </row>
    <row r="3" spans="1:11" ht="41.5" customHeight="1" thickBot="1">
      <c r="A3" s="30" t="s">
        <v>16</v>
      </c>
      <c r="B3" s="30" t="s">
        <v>17</v>
      </c>
      <c r="C3" s="30">
        <v>2</v>
      </c>
      <c r="D3" s="30" t="s">
        <v>18</v>
      </c>
      <c r="E3" s="30" t="s">
        <v>19</v>
      </c>
      <c r="F3" s="30" t="s">
        <v>20</v>
      </c>
      <c r="G3" s="19"/>
      <c r="H3" s="20" t="s">
        <v>21</v>
      </c>
      <c r="J3" s="11" t="s">
        <v>22</v>
      </c>
      <c r="K3" s="29">
        <v>10</v>
      </c>
    </row>
    <row r="4" spans="1:11" ht="15.65" customHeight="1">
      <c r="A4" s="30" t="s">
        <v>23</v>
      </c>
      <c r="B4" s="30" t="s">
        <v>24</v>
      </c>
      <c r="C4" s="30">
        <v>2</v>
      </c>
      <c r="D4" s="30" t="s">
        <v>25</v>
      </c>
      <c r="E4" s="30"/>
      <c r="F4" s="32"/>
      <c r="G4" s="19"/>
      <c r="J4" s="12"/>
      <c r="K4" s="2"/>
    </row>
    <row r="5" spans="1:11" ht="15.65" customHeight="1">
      <c r="A5" s="30" t="s">
        <v>26</v>
      </c>
      <c r="B5" s="30" t="s">
        <v>24</v>
      </c>
      <c r="C5" s="30">
        <v>2</v>
      </c>
      <c r="D5" s="30" t="s">
        <v>25</v>
      </c>
      <c r="E5" s="30"/>
      <c r="F5" s="32"/>
      <c r="G5" s="19"/>
      <c r="H5" s="20" t="s">
        <v>27</v>
      </c>
      <c r="J5" s="13"/>
      <c r="K5" s="3"/>
    </row>
    <row r="6" spans="1:11" ht="34.5" customHeight="1">
      <c r="A6" s="30" t="s">
        <v>28</v>
      </c>
      <c r="B6" s="30" t="s">
        <v>29</v>
      </c>
      <c r="C6" s="30">
        <v>3</v>
      </c>
      <c r="D6" s="30"/>
      <c r="E6" s="30"/>
      <c r="F6" s="32"/>
      <c r="G6" s="19"/>
      <c r="J6" s="14" t="s">
        <v>30</v>
      </c>
      <c r="K6" s="17">
        <f>COUNTA(A:A) - 2</f>
        <v>93</v>
      </c>
    </row>
    <row r="7" spans="1:11" ht="48.5" customHeight="1">
      <c r="A7" s="30" t="s">
        <v>31</v>
      </c>
      <c r="B7" s="30" t="s">
        <v>29</v>
      </c>
      <c r="C7" s="30">
        <v>3</v>
      </c>
      <c r="D7" s="30"/>
      <c r="E7" s="30"/>
      <c r="F7" s="32"/>
      <c r="G7" s="19"/>
      <c r="H7" s="20" t="s">
        <v>32</v>
      </c>
      <c r="J7" s="15" t="s">
        <v>33</v>
      </c>
      <c r="K7" s="17">
        <f>K2*K3</f>
        <v>100</v>
      </c>
    </row>
    <row r="8" spans="1:11" ht="52.5" customHeight="1" thickBot="1">
      <c r="A8" s="30" t="s">
        <v>34</v>
      </c>
      <c r="B8" s="30" t="s">
        <v>35</v>
      </c>
      <c r="C8" s="30">
        <v>2</v>
      </c>
      <c r="D8" s="30" t="s">
        <v>36</v>
      </c>
      <c r="E8" s="30"/>
      <c r="F8" s="32"/>
      <c r="G8" s="19"/>
      <c r="J8" s="16" t="s">
        <v>37</v>
      </c>
      <c r="K8" s="18">
        <f>K7-K6</f>
        <v>7</v>
      </c>
    </row>
    <row r="9" spans="1:11" ht="38" customHeight="1" thickBot="1">
      <c r="A9" s="30" t="s">
        <v>38</v>
      </c>
      <c r="B9" s="30" t="s">
        <v>39</v>
      </c>
      <c r="C9" s="30">
        <v>2</v>
      </c>
      <c r="D9" s="30" t="s">
        <v>40</v>
      </c>
      <c r="E9" s="30" t="s">
        <v>41</v>
      </c>
      <c r="F9" s="32"/>
      <c r="G9" s="19"/>
      <c r="H9" s="20" t="s">
        <v>42</v>
      </c>
    </row>
    <row r="10" spans="1:11" ht="61" customHeight="1" thickBot="1">
      <c r="A10" s="30" t="s">
        <v>43</v>
      </c>
      <c r="B10" s="30" t="s">
        <v>44</v>
      </c>
      <c r="C10" s="30">
        <v>3</v>
      </c>
      <c r="D10" s="30"/>
      <c r="E10" s="30"/>
      <c r="F10" s="32"/>
      <c r="G10" s="19" t="s">
        <v>45</v>
      </c>
      <c r="J10" s="4" t="s">
        <v>46</v>
      </c>
      <c r="K10" s="5" t="s">
        <v>47</v>
      </c>
    </row>
    <row r="11" spans="1:11" ht="31" customHeight="1">
      <c r="A11" s="30" t="s">
        <v>48</v>
      </c>
      <c r="B11" s="30" t="s">
        <v>44</v>
      </c>
      <c r="C11" s="30">
        <v>3</v>
      </c>
      <c r="D11" s="30"/>
      <c r="E11" s="30"/>
      <c r="F11" s="32"/>
      <c r="G11" s="19"/>
      <c r="J11" s="6" t="s">
        <v>49</v>
      </c>
      <c r="K11" s="33" t="s">
        <v>50</v>
      </c>
    </row>
    <row r="12" spans="1:11" ht="32" customHeight="1">
      <c r="A12" s="30" t="s">
        <v>51</v>
      </c>
      <c r="B12" s="30" t="s">
        <v>52</v>
      </c>
      <c r="C12" s="30">
        <v>2</v>
      </c>
      <c r="D12" s="30"/>
      <c r="E12" s="30"/>
      <c r="F12" s="32"/>
      <c r="G12" s="19"/>
      <c r="J12" s="7" t="s">
        <v>53</v>
      </c>
      <c r="K12" s="34" t="s">
        <v>50</v>
      </c>
    </row>
    <row r="13" spans="1:11" ht="54" customHeight="1" thickBot="1">
      <c r="A13" s="30" t="s">
        <v>54</v>
      </c>
      <c r="B13" s="30" t="s">
        <v>55</v>
      </c>
      <c r="C13" s="30">
        <v>2</v>
      </c>
      <c r="D13" s="30"/>
      <c r="E13" s="30"/>
      <c r="F13" s="32"/>
      <c r="G13" s="19"/>
      <c r="J13" s="8" t="s">
        <v>56</v>
      </c>
      <c r="K13" s="35" t="s">
        <v>50</v>
      </c>
    </row>
    <row r="14" spans="1:11" ht="15.65" customHeight="1">
      <c r="A14" s="30" t="s">
        <v>57</v>
      </c>
      <c r="B14" s="30" t="s">
        <v>58</v>
      </c>
      <c r="C14" s="30">
        <v>2</v>
      </c>
      <c r="D14" s="30"/>
      <c r="E14" s="30"/>
      <c r="F14" s="32"/>
      <c r="G14" s="19"/>
    </row>
    <row r="15" spans="1:11" ht="15.65" customHeight="1">
      <c r="A15" s="30" t="s">
        <v>59</v>
      </c>
      <c r="B15" s="30" t="s">
        <v>58</v>
      </c>
      <c r="C15" s="30">
        <v>2</v>
      </c>
      <c r="D15" s="30"/>
      <c r="E15" s="30"/>
      <c r="F15" s="32"/>
      <c r="G15" s="19"/>
    </row>
    <row r="16" spans="1:11" ht="15.65" customHeight="1">
      <c r="A16" s="30" t="s">
        <v>60</v>
      </c>
      <c r="B16" s="30" t="s">
        <v>61</v>
      </c>
      <c r="C16" s="30">
        <v>2</v>
      </c>
      <c r="D16" s="30"/>
      <c r="E16" s="30"/>
      <c r="F16" s="32"/>
      <c r="G16" s="19"/>
    </row>
    <row r="17" spans="1:12" ht="15.65" customHeight="1">
      <c r="A17" s="30" t="s">
        <v>62</v>
      </c>
      <c r="B17" s="30" t="s">
        <v>63</v>
      </c>
      <c r="C17" s="30">
        <v>3</v>
      </c>
      <c r="D17" s="30" t="s">
        <v>25</v>
      </c>
      <c r="E17" s="30"/>
      <c r="F17" s="32"/>
      <c r="G17" s="19"/>
    </row>
    <row r="18" spans="1:12" ht="15.65" customHeight="1">
      <c r="A18" s="30" t="s">
        <v>64</v>
      </c>
      <c r="B18" s="30" t="s">
        <v>65</v>
      </c>
      <c r="C18" s="30">
        <v>2</v>
      </c>
      <c r="D18" s="30"/>
      <c r="E18" s="30" t="s">
        <v>41</v>
      </c>
      <c r="F18" s="32"/>
      <c r="G18" s="19"/>
    </row>
    <row r="19" spans="1:12" ht="15.65" customHeight="1">
      <c r="A19" s="30" t="s">
        <v>66</v>
      </c>
      <c r="B19" s="30" t="s">
        <v>65</v>
      </c>
      <c r="C19" s="30">
        <v>2</v>
      </c>
      <c r="D19" s="30"/>
      <c r="E19" s="30" t="s">
        <v>19</v>
      </c>
      <c r="F19" s="32"/>
      <c r="G19" s="19"/>
    </row>
    <row r="20" spans="1:12" ht="15.65" customHeight="1">
      <c r="A20" s="30" t="s">
        <v>67</v>
      </c>
      <c r="B20" s="30" t="s">
        <v>68</v>
      </c>
      <c r="C20" s="30">
        <v>2</v>
      </c>
      <c r="D20" s="30"/>
      <c r="E20" s="30" t="s">
        <v>19</v>
      </c>
      <c r="F20" s="32"/>
      <c r="G20" s="19"/>
    </row>
    <row r="21" spans="1:12" ht="15.65" customHeight="1">
      <c r="A21" s="30" t="s">
        <v>69</v>
      </c>
      <c r="B21" s="30" t="s">
        <v>70</v>
      </c>
      <c r="C21" s="30">
        <v>2</v>
      </c>
      <c r="D21" s="30"/>
      <c r="E21" s="30" t="s">
        <v>71</v>
      </c>
      <c r="F21" s="30" t="s">
        <v>72</v>
      </c>
      <c r="G21" s="19"/>
    </row>
    <row r="22" spans="1:12" ht="57" customHeight="1" thickBot="1">
      <c r="A22" s="30" t="s">
        <v>73</v>
      </c>
      <c r="B22" s="30" t="s">
        <v>74</v>
      </c>
      <c r="C22" s="30">
        <v>3</v>
      </c>
      <c r="D22" s="30"/>
      <c r="E22" s="30" t="s">
        <v>41</v>
      </c>
      <c r="F22" s="30"/>
      <c r="G22" s="19"/>
    </row>
    <row r="23" spans="1:12" ht="41.5" customHeight="1" thickBot="1">
      <c r="A23" s="30" t="s">
        <v>75</v>
      </c>
      <c r="B23" s="30" t="s">
        <v>76</v>
      </c>
      <c r="C23" s="30">
        <v>1</v>
      </c>
      <c r="D23" s="30" t="s">
        <v>77</v>
      </c>
      <c r="E23" s="30" t="s">
        <v>78</v>
      </c>
      <c r="F23" s="30" t="s">
        <v>79</v>
      </c>
      <c r="G23" s="19"/>
      <c r="J23" s="39" t="s">
        <v>80</v>
      </c>
      <c r="K23" s="40"/>
      <c r="L23" s="1" t="s">
        <v>81</v>
      </c>
    </row>
    <row r="24" spans="1:12" ht="36" customHeight="1" thickBot="1">
      <c r="A24" s="30" t="s">
        <v>82</v>
      </c>
      <c r="B24" s="30" t="s">
        <v>83</v>
      </c>
      <c r="C24" s="30">
        <v>2</v>
      </c>
      <c r="D24" s="30" t="s">
        <v>77</v>
      </c>
      <c r="E24" s="30" t="s">
        <v>78</v>
      </c>
      <c r="F24" s="30" t="s">
        <v>84</v>
      </c>
      <c r="G24" s="19"/>
      <c r="J24" s="41"/>
      <c r="K24" s="42"/>
    </row>
    <row r="25" spans="1:12" ht="56.5" customHeight="1">
      <c r="A25" s="30" t="s">
        <v>85</v>
      </c>
      <c r="B25" s="30" t="s">
        <v>86</v>
      </c>
      <c r="C25" s="30">
        <v>2</v>
      </c>
      <c r="D25" s="30" t="s">
        <v>87</v>
      </c>
      <c r="E25" s="30" t="s">
        <v>88</v>
      </c>
      <c r="F25" s="30" t="s">
        <v>89</v>
      </c>
      <c r="G25" s="19"/>
      <c r="J25" s="9"/>
      <c r="K25" s="9"/>
    </row>
    <row r="26" spans="1:12" ht="15.65" customHeight="1">
      <c r="A26" s="30" t="s">
        <v>90</v>
      </c>
      <c r="B26" s="30" t="s">
        <v>91</v>
      </c>
      <c r="C26" s="30">
        <v>2</v>
      </c>
      <c r="D26" s="30"/>
      <c r="E26" s="30"/>
      <c r="F26" s="30"/>
      <c r="G26" s="19"/>
    </row>
    <row r="27" spans="1:12" ht="15.65" customHeight="1">
      <c r="A27" s="30" t="s">
        <v>92</v>
      </c>
      <c r="B27" s="30"/>
      <c r="C27" s="30">
        <v>2</v>
      </c>
      <c r="D27" s="30" t="s">
        <v>93</v>
      </c>
      <c r="E27" s="30"/>
      <c r="F27" s="30" t="s">
        <v>94</v>
      </c>
      <c r="G27" s="19"/>
    </row>
    <row r="28" spans="1:12" ht="15.65" customHeight="1">
      <c r="A28" s="30" t="s">
        <v>95</v>
      </c>
      <c r="B28" s="30" t="s">
        <v>96</v>
      </c>
      <c r="C28" s="30">
        <v>3</v>
      </c>
      <c r="D28" s="30"/>
      <c r="E28" s="30"/>
      <c r="F28" s="30"/>
      <c r="G28" s="19"/>
    </row>
    <row r="29" spans="1:12" ht="40.5" customHeight="1">
      <c r="A29" s="31" t="s">
        <v>97</v>
      </c>
      <c r="B29" s="30" t="s">
        <v>98</v>
      </c>
      <c r="C29" s="30">
        <v>1</v>
      </c>
      <c r="D29" s="30" t="s">
        <v>77</v>
      </c>
      <c r="E29" s="30"/>
      <c r="F29" s="30"/>
      <c r="G29" s="19"/>
    </row>
    <row r="30" spans="1:12" ht="15.65" customHeight="1">
      <c r="A30" s="31" t="s">
        <v>99</v>
      </c>
      <c r="B30" s="30" t="s">
        <v>98</v>
      </c>
      <c r="C30" s="30">
        <v>1</v>
      </c>
      <c r="D30" s="30" t="s">
        <v>77</v>
      </c>
      <c r="E30" s="30" t="s">
        <v>71</v>
      </c>
      <c r="F30" s="30" t="s">
        <v>100</v>
      </c>
      <c r="G30" s="19"/>
    </row>
    <row r="31" spans="1:12" ht="15.65" customHeight="1">
      <c r="A31" s="30" t="s">
        <v>101</v>
      </c>
      <c r="B31" s="30" t="s">
        <v>102</v>
      </c>
      <c r="C31" s="30">
        <v>3</v>
      </c>
      <c r="D31" s="30"/>
      <c r="E31" s="30"/>
      <c r="F31" s="30"/>
      <c r="G31" s="19"/>
    </row>
    <row r="32" spans="1:12" ht="15.65" customHeight="1">
      <c r="A32" s="30" t="s">
        <v>103</v>
      </c>
      <c r="B32" s="30" t="s">
        <v>104</v>
      </c>
      <c r="C32" s="30">
        <v>2</v>
      </c>
      <c r="D32" s="30"/>
      <c r="E32" s="30" t="s">
        <v>41</v>
      </c>
      <c r="F32" s="30"/>
      <c r="G32" s="19"/>
    </row>
    <row r="33" spans="1:7" ht="15.65" customHeight="1">
      <c r="A33" s="30" t="s">
        <v>105</v>
      </c>
      <c r="B33" s="30" t="s">
        <v>106</v>
      </c>
      <c r="C33" s="30">
        <v>2</v>
      </c>
      <c r="D33" s="30"/>
      <c r="E33" s="30"/>
      <c r="F33" s="30"/>
      <c r="G33" s="19"/>
    </row>
    <row r="34" spans="1:7" ht="15.65" customHeight="1">
      <c r="A34" s="30" t="s">
        <v>107</v>
      </c>
      <c r="B34" s="30" t="s">
        <v>108</v>
      </c>
      <c r="C34" s="30">
        <v>2</v>
      </c>
      <c r="D34" s="30"/>
      <c r="E34" s="30"/>
      <c r="F34" s="30"/>
      <c r="G34" s="19"/>
    </row>
    <row r="35" spans="1:7" ht="15.65" customHeight="1">
      <c r="A35" s="30" t="s">
        <v>109</v>
      </c>
      <c r="B35" s="30" t="s">
        <v>110</v>
      </c>
      <c r="C35" s="30">
        <v>2</v>
      </c>
      <c r="D35" s="30"/>
      <c r="E35" s="30"/>
      <c r="F35" s="30"/>
      <c r="G35" s="19"/>
    </row>
    <row r="36" spans="1:7" ht="15.65" customHeight="1">
      <c r="A36" s="30" t="s">
        <v>111</v>
      </c>
      <c r="B36" s="30" t="s">
        <v>112</v>
      </c>
      <c r="C36" s="30">
        <v>2</v>
      </c>
      <c r="D36" s="30" t="s">
        <v>87</v>
      </c>
      <c r="E36" s="30" t="s">
        <v>41</v>
      </c>
      <c r="F36" s="30"/>
      <c r="G36" s="19"/>
    </row>
    <row r="37" spans="1:7" ht="15.65" customHeight="1">
      <c r="A37" s="30" t="s">
        <v>113</v>
      </c>
      <c r="B37" s="30" t="s">
        <v>114</v>
      </c>
      <c r="C37" s="30">
        <v>2</v>
      </c>
      <c r="D37" s="30"/>
      <c r="E37" s="30"/>
      <c r="F37" s="30"/>
      <c r="G37" s="19"/>
    </row>
    <row r="38" spans="1:7" ht="43" customHeight="1">
      <c r="A38" s="30" t="s">
        <v>115</v>
      </c>
      <c r="B38" s="30" t="s">
        <v>116</v>
      </c>
      <c r="C38" s="30">
        <v>1</v>
      </c>
      <c r="D38" s="30"/>
      <c r="E38" s="30"/>
      <c r="F38" s="30"/>
      <c r="G38" s="19"/>
    </row>
    <row r="39" spans="1:7" ht="32" customHeight="1">
      <c r="A39" s="30" t="s">
        <v>117</v>
      </c>
      <c r="B39" s="30" t="s">
        <v>118</v>
      </c>
      <c r="C39" s="30">
        <v>1</v>
      </c>
      <c r="D39" s="30" t="s">
        <v>77</v>
      </c>
      <c r="E39" s="30" t="s">
        <v>41</v>
      </c>
      <c r="F39" s="30" t="s">
        <v>119</v>
      </c>
      <c r="G39" s="19"/>
    </row>
    <row r="40" spans="1:7" ht="29.5" customHeight="1">
      <c r="A40" s="30" t="s">
        <v>120</v>
      </c>
      <c r="B40" s="30" t="s">
        <v>121</v>
      </c>
      <c r="C40" s="30">
        <v>2</v>
      </c>
      <c r="D40" s="30" t="s">
        <v>122</v>
      </c>
      <c r="E40" s="30" t="s">
        <v>41</v>
      </c>
      <c r="F40" s="30" t="s">
        <v>123</v>
      </c>
      <c r="G40" s="19"/>
    </row>
    <row r="41" spans="1:7" ht="15.65" customHeight="1">
      <c r="A41" s="30" t="s">
        <v>124</v>
      </c>
      <c r="B41" s="30" t="s">
        <v>125</v>
      </c>
      <c r="C41" s="30">
        <v>1</v>
      </c>
      <c r="D41" s="30"/>
      <c r="E41" s="30"/>
      <c r="F41" s="30"/>
      <c r="G41" s="19"/>
    </row>
    <row r="42" spans="1:7" ht="15.65" customHeight="1">
      <c r="A42" s="30" t="s">
        <v>126</v>
      </c>
      <c r="B42" s="30" t="s">
        <v>127</v>
      </c>
      <c r="C42" s="30">
        <v>1</v>
      </c>
      <c r="D42" s="30" t="s">
        <v>122</v>
      </c>
      <c r="E42" s="30" t="s">
        <v>88</v>
      </c>
      <c r="F42" s="30"/>
      <c r="G42" s="19"/>
    </row>
    <row r="43" spans="1:7" ht="15.65" customHeight="1">
      <c r="A43" s="30" t="s">
        <v>128</v>
      </c>
      <c r="B43" s="30" t="s">
        <v>129</v>
      </c>
      <c r="C43" s="30">
        <v>1</v>
      </c>
      <c r="D43" s="30" t="s">
        <v>122</v>
      </c>
      <c r="E43" s="30"/>
      <c r="F43" s="30"/>
      <c r="G43" s="19"/>
    </row>
    <row r="44" spans="1:7" ht="15.65" customHeight="1">
      <c r="A44" s="30" t="s">
        <v>130</v>
      </c>
      <c r="B44" s="30" t="s">
        <v>131</v>
      </c>
      <c r="C44" s="30">
        <v>2</v>
      </c>
      <c r="D44" s="30" t="s">
        <v>122</v>
      </c>
      <c r="E44" s="30" t="s">
        <v>19</v>
      </c>
      <c r="F44" s="30"/>
      <c r="G44" s="19"/>
    </row>
    <row r="45" spans="1:7" ht="15.65" customHeight="1">
      <c r="A45" s="30" t="s">
        <v>132</v>
      </c>
      <c r="B45" s="30" t="s">
        <v>133</v>
      </c>
      <c r="C45" s="30">
        <v>1</v>
      </c>
      <c r="D45" s="30" t="s">
        <v>134</v>
      </c>
      <c r="E45" s="30"/>
      <c r="F45" s="30"/>
      <c r="G45" s="19"/>
    </row>
    <row r="46" spans="1:7" ht="15.65" customHeight="1">
      <c r="A46" s="30" t="s">
        <v>135</v>
      </c>
      <c r="B46" s="30" t="s">
        <v>136</v>
      </c>
      <c r="C46" s="30">
        <v>2</v>
      </c>
      <c r="D46" s="30" t="s">
        <v>137</v>
      </c>
      <c r="E46" s="30" t="s">
        <v>19</v>
      </c>
      <c r="F46" s="30"/>
      <c r="G46" s="19"/>
    </row>
    <row r="47" spans="1:7" ht="15.65" customHeight="1">
      <c r="A47" s="30" t="s">
        <v>138</v>
      </c>
      <c r="B47" s="30" t="s">
        <v>139</v>
      </c>
      <c r="C47" s="30">
        <v>2</v>
      </c>
      <c r="D47" s="30" t="s">
        <v>134</v>
      </c>
      <c r="E47" s="30"/>
      <c r="F47" s="30"/>
      <c r="G47" s="19"/>
    </row>
    <row r="48" spans="1:7" ht="15.65" customHeight="1">
      <c r="A48" s="30" t="s">
        <v>140</v>
      </c>
      <c r="B48" s="30" t="s">
        <v>141</v>
      </c>
      <c r="C48" s="30">
        <v>2</v>
      </c>
      <c r="D48" s="30" t="s">
        <v>137</v>
      </c>
      <c r="E48" s="30" t="s">
        <v>19</v>
      </c>
      <c r="F48" s="30"/>
      <c r="G48" s="19"/>
    </row>
    <row r="49" spans="1:7" ht="15.65" customHeight="1">
      <c r="A49" s="30" t="s">
        <v>142</v>
      </c>
      <c r="B49" s="30" t="s">
        <v>143</v>
      </c>
      <c r="C49" s="30">
        <v>2</v>
      </c>
      <c r="D49" s="30" t="s">
        <v>134</v>
      </c>
      <c r="E49" s="30"/>
      <c r="F49" s="30"/>
      <c r="G49" s="19"/>
    </row>
    <row r="50" spans="1:7" ht="15.65" customHeight="1">
      <c r="A50" s="30" t="s">
        <v>69</v>
      </c>
      <c r="B50" s="30" t="s">
        <v>144</v>
      </c>
      <c r="C50" s="30">
        <v>2</v>
      </c>
      <c r="D50" s="30" t="s">
        <v>134</v>
      </c>
      <c r="E50" s="30" t="s">
        <v>71</v>
      </c>
      <c r="F50" s="30"/>
      <c r="G50" s="19"/>
    </row>
    <row r="51" spans="1:7" ht="15.65" customHeight="1">
      <c r="A51" s="30" t="s">
        <v>145</v>
      </c>
      <c r="B51" s="30" t="s">
        <v>146</v>
      </c>
      <c r="C51" s="30">
        <v>1</v>
      </c>
      <c r="D51" s="30" t="s">
        <v>137</v>
      </c>
      <c r="E51" s="30" t="s">
        <v>19</v>
      </c>
      <c r="F51" s="30"/>
      <c r="G51" s="19"/>
    </row>
    <row r="52" spans="1:7" ht="15.65" customHeight="1">
      <c r="A52" s="30" t="s">
        <v>147</v>
      </c>
      <c r="B52" s="30" t="s">
        <v>148</v>
      </c>
      <c r="C52" s="30">
        <v>1</v>
      </c>
      <c r="D52" s="30" t="s">
        <v>93</v>
      </c>
      <c r="E52" s="30" t="s">
        <v>88</v>
      </c>
      <c r="F52" s="30" t="s">
        <v>149</v>
      </c>
      <c r="G52" s="19"/>
    </row>
    <row r="53" spans="1:7" ht="15.65" customHeight="1">
      <c r="A53" s="30" t="s">
        <v>150</v>
      </c>
      <c r="B53" s="30" t="s">
        <v>151</v>
      </c>
      <c r="C53" s="30">
        <v>2</v>
      </c>
      <c r="D53" s="30" t="s">
        <v>93</v>
      </c>
      <c r="E53" s="30" t="s">
        <v>71</v>
      </c>
      <c r="F53" s="30" t="s">
        <v>152</v>
      </c>
      <c r="G53" s="19"/>
    </row>
    <row r="54" spans="1:7" ht="15.65" customHeight="1">
      <c r="A54" s="30" t="s">
        <v>153</v>
      </c>
      <c r="B54" s="30" t="s">
        <v>154</v>
      </c>
      <c r="C54" s="30">
        <v>2</v>
      </c>
      <c r="D54" s="30" t="s">
        <v>93</v>
      </c>
      <c r="E54" s="30" t="s">
        <v>155</v>
      </c>
      <c r="F54" s="30"/>
      <c r="G54" s="19"/>
    </row>
    <row r="55" spans="1:7" ht="15.65" customHeight="1">
      <c r="A55" s="30" t="s">
        <v>156</v>
      </c>
      <c r="B55" s="30" t="s">
        <v>157</v>
      </c>
      <c r="C55" s="30">
        <v>2</v>
      </c>
      <c r="D55" s="30" t="s">
        <v>93</v>
      </c>
      <c r="E55" s="30"/>
      <c r="F55" s="30"/>
      <c r="G55" s="19"/>
    </row>
    <row r="56" spans="1:7" ht="15.65" customHeight="1">
      <c r="A56" s="30" t="s">
        <v>158</v>
      </c>
      <c r="B56" s="30" t="s">
        <v>159</v>
      </c>
      <c r="C56" s="30">
        <v>2</v>
      </c>
      <c r="D56" s="30" t="s">
        <v>93</v>
      </c>
      <c r="E56" s="30" t="s">
        <v>71</v>
      </c>
      <c r="F56" s="30"/>
      <c r="G56" s="19"/>
    </row>
    <row r="57" spans="1:7" ht="15.65" customHeight="1">
      <c r="A57" s="30" t="s">
        <v>160</v>
      </c>
      <c r="B57" s="30" t="s">
        <v>161</v>
      </c>
      <c r="C57" s="30">
        <v>2</v>
      </c>
      <c r="D57" s="30" t="s">
        <v>93</v>
      </c>
      <c r="E57" s="30"/>
      <c r="F57" s="30"/>
      <c r="G57" s="19"/>
    </row>
    <row r="58" spans="1:7" ht="15.65" customHeight="1">
      <c r="A58" s="30" t="s">
        <v>162</v>
      </c>
      <c r="B58" s="30" t="s">
        <v>163</v>
      </c>
      <c r="C58" s="30">
        <v>2</v>
      </c>
      <c r="D58" s="30" t="s">
        <v>93</v>
      </c>
      <c r="E58" s="30" t="s">
        <v>41</v>
      </c>
      <c r="F58" s="30"/>
      <c r="G58" s="19"/>
    </row>
    <row r="59" spans="1:7" ht="15.65" customHeight="1">
      <c r="A59" s="30" t="s">
        <v>164</v>
      </c>
      <c r="B59" s="30" t="s">
        <v>165</v>
      </c>
      <c r="C59" s="30">
        <v>3</v>
      </c>
      <c r="D59" s="30" t="s">
        <v>93</v>
      </c>
      <c r="E59" s="30"/>
      <c r="F59" s="30"/>
      <c r="G59" s="19"/>
    </row>
    <row r="60" spans="1:7" ht="15.65" customHeight="1">
      <c r="A60" s="30" t="s">
        <v>166</v>
      </c>
      <c r="B60" s="30" t="s">
        <v>167</v>
      </c>
      <c r="C60" s="30">
        <v>3</v>
      </c>
      <c r="D60" s="30" t="s">
        <v>168</v>
      </c>
      <c r="E60" s="30" t="s">
        <v>169</v>
      </c>
      <c r="F60" s="30"/>
      <c r="G60" s="19"/>
    </row>
    <row r="61" spans="1:7" ht="15.65" customHeight="1">
      <c r="A61" s="30" t="s">
        <v>170</v>
      </c>
      <c r="B61" s="30" t="s">
        <v>171</v>
      </c>
      <c r="C61" s="30">
        <v>3</v>
      </c>
      <c r="D61" s="30" t="s">
        <v>168</v>
      </c>
      <c r="E61" s="30"/>
      <c r="F61" s="30"/>
      <c r="G61" s="19"/>
    </row>
    <row r="62" spans="1:7" ht="15.65" customHeight="1">
      <c r="A62" s="30" t="s">
        <v>172</v>
      </c>
      <c r="B62" s="30" t="s">
        <v>173</v>
      </c>
      <c r="C62" s="30">
        <v>3</v>
      </c>
      <c r="D62" s="30" t="s">
        <v>168</v>
      </c>
      <c r="E62" s="30" t="s">
        <v>78</v>
      </c>
      <c r="F62" s="30"/>
      <c r="G62" s="19"/>
    </row>
    <row r="63" spans="1:7" ht="15.65" customHeight="1">
      <c r="A63" s="30" t="s">
        <v>174</v>
      </c>
      <c r="B63" s="30" t="s">
        <v>175</v>
      </c>
      <c r="C63" s="30">
        <v>3</v>
      </c>
      <c r="D63" s="30" t="s">
        <v>168</v>
      </c>
      <c r="E63" s="30" t="s">
        <v>176</v>
      </c>
      <c r="F63" s="30"/>
      <c r="G63" s="19"/>
    </row>
    <row r="64" spans="1:7" ht="15.65" customHeight="1">
      <c r="A64" s="30" t="s">
        <v>177</v>
      </c>
      <c r="B64" s="30" t="s">
        <v>178</v>
      </c>
      <c r="C64" s="30">
        <v>3</v>
      </c>
      <c r="D64" s="30" t="s">
        <v>168</v>
      </c>
      <c r="E64" s="30" t="s">
        <v>88</v>
      </c>
      <c r="F64" s="30"/>
    </row>
    <row r="65" spans="1:6" ht="15.65" customHeight="1">
      <c r="A65" s="30" t="s">
        <v>179</v>
      </c>
      <c r="B65" s="30" t="s">
        <v>180</v>
      </c>
      <c r="C65" s="30">
        <v>2</v>
      </c>
      <c r="D65" s="30" t="s">
        <v>168</v>
      </c>
      <c r="E65" s="30" t="s">
        <v>19</v>
      </c>
      <c r="F65" s="30" t="s">
        <v>181</v>
      </c>
    </row>
    <row r="66" spans="1:6" ht="15.65" customHeight="1">
      <c r="A66" s="30" t="s">
        <v>182</v>
      </c>
      <c r="B66" s="30" t="s">
        <v>183</v>
      </c>
      <c r="C66" s="30">
        <v>2</v>
      </c>
      <c r="D66" s="30" t="s">
        <v>168</v>
      </c>
      <c r="E66" s="30" t="s">
        <v>184</v>
      </c>
      <c r="F66" s="30"/>
    </row>
    <row r="67" spans="1:6" ht="15.65" customHeight="1">
      <c r="A67" s="30" t="s">
        <v>185</v>
      </c>
      <c r="B67" s="30" t="s">
        <v>186</v>
      </c>
      <c r="C67" s="30">
        <v>2</v>
      </c>
      <c r="D67" s="30" t="s">
        <v>168</v>
      </c>
      <c r="E67" s="30" t="s">
        <v>184</v>
      </c>
      <c r="F67" s="30"/>
    </row>
    <row r="68" spans="1:6" ht="15.65" customHeight="1">
      <c r="A68" s="30" t="s">
        <v>187</v>
      </c>
      <c r="B68" s="30" t="s">
        <v>188</v>
      </c>
      <c r="C68" s="30">
        <v>2</v>
      </c>
      <c r="D68" s="30" t="s">
        <v>168</v>
      </c>
      <c r="E68" s="30" t="s">
        <v>189</v>
      </c>
      <c r="F68" s="30"/>
    </row>
    <row r="69" spans="1:6" ht="15.65" customHeight="1">
      <c r="A69" s="30" t="s">
        <v>190</v>
      </c>
      <c r="B69" s="30" t="s">
        <v>191</v>
      </c>
      <c r="C69" s="30">
        <v>1</v>
      </c>
      <c r="D69" s="30" t="s">
        <v>192</v>
      </c>
      <c r="E69" s="30" t="s">
        <v>71</v>
      </c>
      <c r="F69" s="30"/>
    </row>
    <row r="70" spans="1:6" ht="15.65" customHeight="1">
      <c r="A70" s="30" t="s">
        <v>193</v>
      </c>
      <c r="B70" s="30" t="s">
        <v>194</v>
      </c>
      <c r="C70" s="30">
        <v>1</v>
      </c>
      <c r="D70" s="30" t="s">
        <v>192</v>
      </c>
      <c r="E70" s="30" t="s">
        <v>41</v>
      </c>
      <c r="F70" s="30"/>
    </row>
    <row r="71" spans="1:6" ht="15.65" customHeight="1">
      <c r="A71" s="30" t="s">
        <v>195</v>
      </c>
      <c r="B71" s="30" t="s">
        <v>196</v>
      </c>
      <c r="C71" s="30">
        <v>2</v>
      </c>
      <c r="D71" s="30" t="s">
        <v>192</v>
      </c>
      <c r="E71" s="30"/>
      <c r="F71" s="30"/>
    </row>
    <row r="72" spans="1:6" ht="15.65" customHeight="1">
      <c r="A72" s="30" t="s">
        <v>197</v>
      </c>
      <c r="B72" s="30" t="s">
        <v>198</v>
      </c>
      <c r="C72" s="30">
        <v>2</v>
      </c>
      <c r="D72" s="30"/>
      <c r="E72" s="30"/>
      <c r="F72" s="30"/>
    </row>
    <row r="73" spans="1:6" ht="15.65" customHeight="1">
      <c r="A73" s="30" t="s">
        <v>199</v>
      </c>
      <c r="B73" s="30" t="s">
        <v>200</v>
      </c>
      <c r="C73" s="30">
        <v>2</v>
      </c>
      <c r="D73" s="30" t="s">
        <v>192</v>
      </c>
      <c r="E73" s="30"/>
      <c r="F73" s="30"/>
    </row>
    <row r="74" spans="1:6" ht="15.65" customHeight="1">
      <c r="A74" s="30" t="s">
        <v>201</v>
      </c>
      <c r="B74" s="30" t="s">
        <v>202</v>
      </c>
      <c r="C74" s="30">
        <v>2</v>
      </c>
      <c r="D74" s="30" t="s">
        <v>192</v>
      </c>
      <c r="E74" s="30" t="s">
        <v>19</v>
      </c>
      <c r="F74" s="30"/>
    </row>
    <row r="75" spans="1:6" ht="15.65" customHeight="1">
      <c r="A75" s="30" t="s">
        <v>203</v>
      </c>
      <c r="B75" s="30" t="s">
        <v>204</v>
      </c>
      <c r="C75" s="30">
        <v>1</v>
      </c>
      <c r="D75" s="30" t="s">
        <v>192</v>
      </c>
      <c r="E75" s="30" t="s">
        <v>176</v>
      </c>
      <c r="F75" s="30"/>
    </row>
    <row r="76" spans="1:6" ht="15.65" customHeight="1">
      <c r="A76" s="30" t="s">
        <v>205</v>
      </c>
      <c r="B76" s="30" t="s">
        <v>206</v>
      </c>
      <c r="C76" s="30">
        <v>1</v>
      </c>
      <c r="D76" s="30" t="s">
        <v>192</v>
      </c>
      <c r="E76" s="30" t="s">
        <v>71</v>
      </c>
      <c r="F76" s="30"/>
    </row>
    <row r="77" spans="1:6" ht="15.65" customHeight="1">
      <c r="A77" s="30" t="s">
        <v>207</v>
      </c>
      <c r="B77" s="30" t="s">
        <v>208</v>
      </c>
      <c r="C77" s="30">
        <v>1</v>
      </c>
      <c r="D77" s="30" t="s">
        <v>192</v>
      </c>
      <c r="E77" s="30" t="s">
        <v>71</v>
      </c>
      <c r="F77" s="30"/>
    </row>
    <row r="78" spans="1:6" ht="46.5" customHeight="1">
      <c r="A78" s="30" t="s">
        <v>209</v>
      </c>
      <c r="B78" s="30" t="s">
        <v>210</v>
      </c>
      <c r="C78" s="30">
        <v>3</v>
      </c>
      <c r="D78" s="30"/>
      <c r="E78" s="30"/>
      <c r="F78" s="30" t="s">
        <v>72</v>
      </c>
    </row>
    <row r="79" spans="1:6" ht="29" customHeight="1">
      <c r="A79" s="30" t="s">
        <v>211</v>
      </c>
      <c r="B79" s="30" t="s">
        <v>212</v>
      </c>
      <c r="C79" s="30">
        <v>1</v>
      </c>
      <c r="D79" s="30"/>
      <c r="E79" s="30" t="s">
        <v>41</v>
      </c>
      <c r="F79" s="30" t="s">
        <v>213</v>
      </c>
    </row>
    <row r="80" spans="1:6" ht="15.65" customHeight="1">
      <c r="A80" s="30" t="s">
        <v>214</v>
      </c>
      <c r="B80" s="30" t="s">
        <v>215</v>
      </c>
      <c r="C80" s="30">
        <v>1</v>
      </c>
      <c r="D80" s="30"/>
      <c r="E80" s="30" t="s">
        <v>184</v>
      </c>
      <c r="F80" s="30"/>
    </row>
    <row r="81" spans="1:6" ht="15.65" customHeight="1">
      <c r="A81" s="30" t="s">
        <v>209</v>
      </c>
      <c r="B81" s="30" t="s">
        <v>216</v>
      </c>
      <c r="C81" s="30">
        <v>2</v>
      </c>
      <c r="D81" s="30"/>
      <c r="E81" s="30" t="s">
        <v>176</v>
      </c>
      <c r="F81" s="30"/>
    </row>
    <row r="82" spans="1:6" ht="15.65" customHeight="1">
      <c r="A82" s="30" t="s">
        <v>217</v>
      </c>
      <c r="B82" s="30" t="s">
        <v>218</v>
      </c>
      <c r="C82" s="30">
        <v>2</v>
      </c>
      <c r="D82" s="30" t="s">
        <v>219</v>
      </c>
      <c r="E82" s="30"/>
      <c r="F82" s="30"/>
    </row>
    <row r="83" spans="1:6" ht="15.65" customHeight="1">
      <c r="A83" s="30" t="s">
        <v>220</v>
      </c>
      <c r="B83" s="30" t="s">
        <v>221</v>
      </c>
      <c r="C83" s="30">
        <v>2</v>
      </c>
      <c r="D83" s="30" t="s">
        <v>219</v>
      </c>
      <c r="E83" s="30"/>
      <c r="F83" s="30"/>
    </row>
    <row r="84" spans="1:6" ht="15.65" customHeight="1">
      <c r="A84" s="30" t="s">
        <v>222</v>
      </c>
      <c r="B84" s="30" t="s">
        <v>223</v>
      </c>
      <c r="C84" s="30">
        <v>2</v>
      </c>
      <c r="D84" s="30" t="s">
        <v>219</v>
      </c>
      <c r="E84" s="30"/>
      <c r="F84" s="30"/>
    </row>
    <row r="85" spans="1:6" ht="15.65" customHeight="1">
      <c r="A85" s="30" t="s">
        <v>224</v>
      </c>
      <c r="B85" s="30" t="s">
        <v>225</v>
      </c>
      <c r="C85" s="30">
        <v>3</v>
      </c>
      <c r="D85" s="30"/>
      <c r="E85" s="30" t="s">
        <v>19</v>
      </c>
      <c r="F85" s="30"/>
    </row>
    <row r="86" spans="1:6" ht="15.65" customHeight="1">
      <c r="A86" s="30" t="s">
        <v>226</v>
      </c>
      <c r="B86" s="30" t="s">
        <v>227</v>
      </c>
      <c r="C86" s="30">
        <v>2</v>
      </c>
      <c r="D86" s="30"/>
      <c r="E86" s="30"/>
      <c r="F86" s="30"/>
    </row>
    <row r="87" spans="1:6" ht="15.65" customHeight="1">
      <c r="A87" s="30" t="s">
        <v>228</v>
      </c>
      <c r="B87" s="30" t="s">
        <v>229</v>
      </c>
      <c r="C87" s="30">
        <v>2</v>
      </c>
      <c r="D87" s="30"/>
      <c r="E87" s="30" t="s">
        <v>169</v>
      </c>
      <c r="F87" s="30"/>
    </row>
    <row r="88" spans="1:6" ht="15.65" customHeight="1">
      <c r="A88" s="30" t="s">
        <v>230</v>
      </c>
      <c r="B88" s="30" t="s">
        <v>231</v>
      </c>
      <c r="C88" s="30">
        <v>3</v>
      </c>
      <c r="D88" s="30"/>
      <c r="E88" s="30"/>
      <c r="F88" s="30"/>
    </row>
    <row r="89" spans="1:6" ht="15.65" customHeight="1">
      <c r="A89" s="30" t="s">
        <v>150</v>
      </c>
      <c r="B89" s="30" t="s">
        <v>232</v>
      </c>
      <c r="C89" s="30">
        <v>3</v>
      </c>
      <c r="D89" s="30"/>
      <c r="E89" s="30" t="s">
        <v>71</v>
      </c>
      <c r="F89" s="30"/>
    </row>
    <row r="90" spans="1:6" ht="15.65" customHeight="1">
      <c r="A90" s="30" t="s">
        <v>233</v>
      </c>
      <c r="B90" s="30" t="s">
        <v>234</v>
      </c>
      <c r="C90" s="30">
        <v>3</v>
      </c>
      <c r="D90" s="30" t="s">
        <v>235</v>
      </c>
      <c r="E90" s="30"/>
      <c r="F90" s="30"/>
    </row>
    <row r="91" spans="1:6" ht="15.65" customHeight="1">
      <c r="A91" s="30" t="s">
        <v>236</v>
      </c>
      <c r="B91" s="30" t="s">
        <v>237</v>
      </c>
      <c r="C91" s="30">
        <v>3</v>
      </c>
      <c r="D91" s="30" t="s">
        <v>235</v>
      </c>
      <c r="E91" s="30" t="s">
        <v>19</v>
      </c>
      <c r="F91" s="30"/>
    </row>
    <row r="92" spans="1:6" ht="15.65" customHeight="1">
      <c r="A92" s="30" t="s">
        <v>238</v>
      </c>
      <c r="B92" s="30" t="s">
        <v>239</v>
      </c>
      <c r="C92" s="30">
        <v>3</v>
      </c>
      <c r="D92" s="30" t="s">
        <v>235</v>
      </c>
      <c r="E92" s="30" t="s">
        <v>41</v>
      </c>
      <c r="F92" s="30"/>
    </row>
    <row r="93" spans="1:6" ht="15.65" customHeight="1">
      <c r="A93" s="30" t="s">
        <v>240</v>
      </c>
      <c r="B93" s="30" t="s">
        <v>241</v>
      </c>
      <c r="C93" s="30">
        <v>3</v>
      </c>
      <c r="D93" s="30" t="s">
        <v>235</v>
      </c>
      <c r="E93" s="30" t="s">
        <v>19</v>
      </c>
      <c r="F93" s="30"/>
    </row>
    <row r="94" spans="1:6" ht="15.65" customHeight="1">
      <c r="A94" s="30" t="s">
        <v>242</v>
      </c>
      <c r="B94" s="30" t="s">
        <v>243</v>
      </c>
      <c r="C94" s="30">
        <v>3</v>
      </c>
      <c r="D94" s="30" t="s">
        <v>235</v>
      </c>
      <c r="E94" s="30" t="s">
        <v>184</v>
      </c>
      <c r="F94" s="30"/>
    </row>
    <row r="95" spans="1:6" ht="15.5" customHeight="1">
      <c r="A95" s="30" t="s">
        <v>244</v>
      </c>
      <c r="B95" s="30" t="s">
        <v>245</v>
      </c>
      <c r="C95" s="30">
        <v>3</v>
      </c>
      <c r="D95" s="30" t="s">
        <v>235</v>
      </c>
      <c r="E95" s="30" t="s">
        <v>189</v>
      </c>
      <c r="F95" s="30"/>
    </row>
  </sheetData>
  <mergeCells count="2">
    <mergeCell ref="J1:K1"/>
    <mergeCell ref="J23:K24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pp_Link">
                <anchor moveWithCells="1" sizeWithCells="1">
                  <from>
                    <xdr:col>8</xdr:col>
                    <xdr:colOff>285750</xdr:colOff>
                    <xdr:row>15</xdr:row>
                    <xdr:rowOff>31750</xdr:rowOff>
                  </from>
                  <to>
                    <xdr:col>11</xdr:col>
                    <xdr:colOff>298450</xdr:colOff>
                    <xdr:row>21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19"/>
  <sheetViews>
    <sheetView workbookViewId="0"/>
  </sheetViews>
  <sheetFormatPr defaultRowHeight="14.5"/>
  <cols>
    <col min="1" max="1" width="40" customWidth="1"/>
    <col min="2" max="2" width="20" customWidth="1"/>
  </cols>
  <sheetData>
    <row r="1" spans="1:2">
      <c r="A1" s="36" t="s">
        <v>246</v>
      </c>
      <c r="B1" s="36" t="s">
        <v>247</v>
      </c>
    </row>
    <row r="2" spans="1:2">
      <c r="A2" t="s">
        <v>248</v>
      </c>
      <c r="B2">
        <v>1</v>
      </c>
    </row>
    <row r="3" spans="1:2">
      <c r="A3" t="s">
        <v>249</v>
      </c>
      <c r="B3">
        <v>1</v>
      </c>
    </row>
    <row r="4" spans="1:2">
      <c r="A4" t="s">
        <v>250</v>
      </c>
      <c r="B4">
        <v>1</v>
      </c>
    </row>
    <row r="5" spans="1:2">
      <c r="A5" t="s">
        <v>251</v>
      </c>
      <c r="B5">
        <v>1</v>
      </c>
    </row>
    <row r="6" spans="1:2">
      <c r="A6" t="s">
        <v>252</v>
      </c>
      <c r="B6">
        <v>1</v>
      </c>
    </row>
    <row r="7" spans="1:2">
      <c r="A7" t="s">
        <v>253</v>
      </c>
      <c r="B7">
        <v>1</v>
      </c>
    </row>
    <row r="8" spans="1:2">
      <c r="A8" t="s">
        <v>254</v>
      </c>
      <c r="B8">
        <v>1</v>
      </c>
    </row>
    <row r="9" spans="1:2">
      <c r="A9" t="s">
        <v>255</v>
      </c>
      <c r="B9">
        <v>1</v>
      </c>
    </row>
    <row r="10" spans="1:2">
      <c r="A10" t="s">
        <v>256</v>
      </c>
      <c r="B10">
        <v>1</v>
      </c>
    </row>
    <row r="11" spans="1:2">
      <c r="A11" t="s">
        <v>257</v>
      </c>
      <c r="B11">
        <v>1</v>
      </c>
    </row>
    <row r="13" spans="1:2">
      <c r="A13" s="36" t="s">
        <v>246</v>
      </c>
      <c r="B13" s="36" t="s">
        <v>247</v>
      </c>
    </row>
    <row r="14" spans="1:2">
      <c r="A14" t="s">
        <v>258</v>
      </c>
      <c r="B14">
        <v>2</v>
      </c>
    </row>
    <row r="15" spans="1:2">
      <c r="A15" t="s">
        <v>259</v>
      </c>
      <c r="B15">
        <v>2</v>
      </c>
    </row>
    <row r="16" spans="1:2">
      <c r="A16" t="s">
        <v>94</v>
      </c>
      <c r="B16">
        <v>2</v>
      </c>
    </row>
    <row r="17" spans="1:2">
      <c r="A17" t="s">
        <v>260</v>
      </c>
      <c r="B17">
        <v>2</v>
      </c>
    </row>
    <row r="18" spans="1:2">
      <c r="A18" t="s">
        <v>261</v>
      </c>
      <c r="B18">
        <v>2</v>
      </c>
    </row>
    <row r="19" spans="1:2">
      <c r="A19" t="s">
        <v>262</v>
      </c>
      <c r="B19">
        <v>2</v>
      </c>
    </row>
    <row r="20" spans="1:2">
      <c r="A20" t="s">
        <v>263</v>
      </c>
      <c r="B20">
        <v>2</v>
      </c>
    </row>
    <row r="21" spans="1:2">
      <c r="A21" t="s">
        <v>264</v>
      </c>
      <c r="B21">
        <v>2</v>
      </c>
    </row>
    <row r="22" spans="1:2">
      <c r="A22" t="s">
        <v>265</v>
      </c>
      <c r="B22">
        <v>2</v>
      </c>
    </row>
    <row r="23" spans="1:2">
      <c r="A23" t="s">
        <v>266</v>
      </c>
      <c r="B23">
        <v>2</v>
      </c>
    </row>
    <row r="25" spans="1:2">
      <c r="A25" s="36" t="s">
        <v>246</v>
      </c>
      <c r="B25" s="36" t="s">
        <v>247</v>
      </c>
    </row>
    <row r="26" spans="1:2">
      <c r="A26" t="s">
        <v>267</v>
      </c>
      <c r="B26">
        <v>3</v>
      </c>
    </row>
    <row r="27" spans="1:2">
      <c r="A27" t="s">
        <v>268</v>
      </c>
      <c r="B27">
        <v>3</v>
      </c>
    </row>
    <row r="28" spans="1:2">
      <c r="A28" t="s">
        <v>269</v>
      </c>
      <c r="B28">
        <v>3</v>
      </c>
    </row>
    <row r="29" spans="1:2">
      <c r="A29" t="s">
        <v>270</v>
      </c>
      <c r="B29">
        <v>3</v>
      </c>
    </row>
    <row r="30" spans="1:2">
      <c r="A30" t="s">
        <v>271</v>
      </c>
      <c r="B30">
        <v>3</v>
      </c>
    </row>
    <row r="31" spans="1:2">
      <c r="A31" t="s">
        <v>272</v>
      </c>
      <c r="B31">
        <v>3</v>
      </c>
    </row>
    <row r="32" spans="1:2">
      <c r="A32" t="s">
        <v>152</v>
      </c>
      <c r="B32">
        <v>3</v>
      </c>
    </row>
    <row r="33" spans="1:2">
      <c r="A33" t="s">
        <v>273</v>
      </c>
      <c r="B33">
        <v>3</v>
      </c>
    </row>
    <row r="34" spans="1:2">
      <c r="A34" t="s">
        <v>274</v>
      </c>
      <c r="B34">
        <v>3</v>
      </c>
    </row>
    <row r="35" spans="1:2">
      <c r="A35" t="s">
        <v>275</v>
      </c>
      <c r="B35">
        <v>3</v>
      </c>
    </row>
    <row r="37" spans="1:2">
      <c r="A37" s="36" t="s">
        <v>246</v>
      </c>
      <c r="B37" s="36" t="s">
        <v>247</v>
      </c>
    </row>
    <row r="38" spans="1:2">
      <c r="A38" t="s">
        <v>276</v>
      </c>
      <c r="B38">
        <v>4</v>
      </c>
    </row>
    <row r="39" spans="1:2">
      <c r="A39" t="s">
        <v>277</v>
      </c>
      <c r="B39">
        <v>4</v>
      </c>
    </row>
    <row r="40" spans="1:2">
      <c r="A40" t="s">
        <v>278</v>
      </c>
      <c r="B40">
        <v>4</v>
      </c>
    </row>
    <row r="41" spans="1:2">
      <c r="A41" t="s">
        <v>279</v>
      </c>
      <c r="B41">
        <v>4</v>
      </c>
    </row>
    <row r="42" spans="1:2">
      <c r="A42" t="s">
        <v>280</v>
      </c>
      <c r="B42">
        <v>4</v>
      </c>
    </row>
    <row r="43" spans="1:2">
      <c r="A43" t="s">
        <v>281</v>
      </c>
      <c r="B43">
        <v>4</v>
      </c>
    </row>
    <row r="44" spans="1:2">
      <c r="A44" t="s">
        <v>282</v>
      </c>
      <c r="B44">
        <v>4</v>
      </c>
    </row>
    <row r="45" spans="1:2">
      <c r="A45" t="s">
        <v>283</v>
      </c>
      <c r="B45">
        <v>4</v>
      </c>
    </row>
    <row r="46" spans="1:2">
      <c r="A46" t="s">
        <v>284</v>
      </c>
      <c r="B46">
        <v>4</v>
      </c>
    </row>
    <row r="47" spans="1:2">
      <c r="A47" t="s">
        <v>285</v>
      </c>
      <c r="B47">
        <v>4</v>
      </c>
    </row>
    <row r="49" spans="1:2">
      <c r="A49" s="36" t="s">
        <v>246</v>
      </c>
      <c r="B49" s="36" t="s">
        <v>247</v>
      </c>
    </row>
    <row r="50" spans="1:2">
      <c r="A50" t="s">
        <v>286</v>
      </c>
      <c r="B50">
        <v>5</v>
      </c>
    </row>
    <row r="51" spans="1:2">
      <c r="A51" t="s">
        <v>287</v>
      </c>
      <c r="B51">
        <v>5</v>
      </c>
    </row>
    <row r="52" spans="1:2">
      <c r="A52" t="s">
        <v>288</v>
      </c>
      <c r="B52">
        <v>5</v>
      </c>
    </row>
    <row r="53" spans="1:2">
      <c r="A53" t="s">
        <v>289</v>
      </c>
      <c r="B53">
        <v>5</v>
      </c>
    </row>
    <row r="54" spans="1:2">
      <c r="A54" t="s">
        <v>290</v>
      </c>
      <c r="B54">
        <v>5</v>
      </c>
    </row>
    <row r="55" spans="1:2">
      <c r="A55" t="s">
        <v>291</v>
      </c>
      <c r="B55">
        <v>5</v>
      </c>
    </row>
    <row r="56" spans="1:2">
      <c r="A56" t="s">
        <v>292</v>
      </c>
      <c r="B56">
        <v>5</v>
      </c>
    </row>
    <row r="57" spans="1:2">
      <c r="A57" t="s">
        <v>293</v>
      </c>
      <c r="B57">
        <v>5</v>
      </c>
    </row>
    <row r="58" spans="1:2">
      <c r="A58" t="s">
        <v>294</v>
      </c>
      <c r="B58">
        <v>5</v>
      </c>
    </row>
    <row r="59" spans="1:2">
      <c r="A59" t="s">
        <v>295</v>
      </c>
      <c r="B59">
        <v>5</v>
      </c>
    </row>
    <row r="61" spans="1:2">
      <c r="A61" s="36" t="s">
        <v>246</v>
      </c>
      <c r="B61" s="36" t="s">
        <v>247</v>
      </c>
    </row>
    <row r="62" spans="1:2">
      <c r="A62" t="s">
        <v>296</v>
      </c>
      <c r="B62">
        <v>6</v>
      </c>
    </row>
    <row r="63" spans="1:2">
      <c r="A63" t="s">
        <v>297</v>
      </c>
      <c r="B63">
        <v>6</v>
      </c>
    </row>
    <row r="64" spans="1:2">
      <c r="A64" t="s">
        <v>298</v>
      </c>
      <c r="B64">
        <v>6</v>
      </c>
    </row>
    <row r="65" spans="1:2">
      <c r="A65" t="s">
        <v>299</v>
      </c>
      <c r="B65">
        <v>6</v>
      </c>
    </row>
    <row r="66" spans="1:2">
      <c r="A66" t="s">
        <v>300</v>
      </c>
      <c r="B66">
        <v>6</v>
      </c>
    </row>
    <row r="67" spans="1:2">
      <c r="A67" t="s">
        <v>301</v>
      </c>
      <c r="B67">
        <v>6</v>
      </c>
    </row>
    <row r="68" spans="1:2">
      <c r="A68" t="s">
        <v>302</v>
      </c>
      <c r="B68">
        <v>6</v>
      </c>
    </row>
    <row r="69" spans="1:2">
      <c r="A69" t="s">
        <v>303</v>
      </c>
      <c r="B69">
        <v>6</v>
      </c>
    </row>
    <row r="70" spans="1:2">
      <c r="A70" t="s">
        <v>304</v>
      </c>
      <c r="B70">
        <v>6</v>
      </c>
    </row>
    <row r="71" spans="1:2">
      <c r="A71" t="s">
        <v>305</v>
      </c>
      <c r="B71">
        <v>6</v>
      </c>
    </row>
    <row r="73" spans="1:2">
      <c r="A73" s="36" t="s">
        <v>246</v>
      </c>
      <c r="B73" s="36" t="s">
        <v>247</v>
      </c>
    </row>
    <row r="74" spans="1:2">
      <c r="A74" t="s">
        <v>306</v>
      </c>
      <c r="B74">
        <v>7</v>
      </c>
    </row>
    <row r="75" spans="1:2">
      <c r="A75" t="s">
        <v>307</v>
      </c>
      <c r="B75">
        <v>7</v>
      </c>
    </row>
    <row r="76" spans="1:2">
      <c r="A76" t="s">
        <v>308</v>
      </c>
      <c r="B76">
        <v>7</v>
      </c>
    </row>
    <row r="77" spans="1:2">
      <c r="A77" t="s">
        <v>309</v>
      </c>
      <c r="B77">
        <v>7</v>
      </c>
    </row>
    <row r="78" spans="1:2">
      <c r="A78" t="s">
        <v>310</v>
      </c>
      <c r="B78">
        <v>7</v>
      </c>
    </row>
    <row r="79" spans="1:2">
      <c r="A79" t="s">
        <v>311</v>
      </c>
      <c r="B79">
        <v>7</v>
      </c>
    </row>
    <row r="80" spans="1:2">
      <c r="A80" t="s">
        <v>312</v>
      </c>
      <c r="B80">
        <v>7</v>
      </c>
    </row>
    <row r="81" spans="1:2">
      <c r="A81" t="s">
        <v>313</v>
      </c>
      <c r="B81">
        <v>7</v>
      </c>
    </row>
    <row r="82" spans="1:2">
      <c r="A82" t="s">
        <v>314</v>
      </c>
      <c r="B82">
        <v>7</v>
      </c>
    </row>
    <row r="83" spans="1:2">
      <c r="A83" t="s">
        <v>315</v>
      </c>
      <c r="B83">
        <v>7</v>
      </c>
    </row>
    <row r="85" spans="1:2">
      <c r="A85" s="36" t="s">
        <v>246</v>
      </c>
      <c r="B85" s="36" t="s">
        <v>247</v>
      </c>
    </row>
    <row r="86" spans="1:2">
      <c r="A86" t="s">
        <v>316</v>
      </c>
      <c r="B86">
        <v>8</v>
      </c>
    </row>
    <row r="87" spans="1:2">
      <c r="A87" t="s">
        <v>317</v>
      </c>
      <c r="B87">
        <v>8</v>
      </c>
    </row>
    <row r="88" spans="1:2">
      <c r="A88" t="s">
        <v>318</v>
      </c>
      <c r="B88">
        <v>8</v>
      </c>
    </row>
    <row r="89" spans="1:2">
      <c r="A89" t="s">
        <v>319</v>
      </c>
      <c r="B89">
        <v>8</v>
      </c>
    </row>
    <row r="90" spans="1:2">
      <c r="A90" t="s">
        <v>320</v>
      </c>
      <c r="B90">
        <v>8</v>
      </c>
    </row>
    <row r="91" spans="1:2">
      <c r="A91" t="s">
        <v>321</v>
      </c>
      <c r="B91">
        <v>8</v>
      </c>
    </row>
    <row r="92" spans="1:2">
      <c r="A92" t="s">
        <v>322</v>
      </c>
      <c r="B92">
        <v>8</v>
      </c>
    </row>
    <row r="93" spans="1:2">
      <c r="A93" t="s">
        <v>323</v>
      </c>
      <c r="B93">
        <v>8</v>
      </c>
    </row>
    <row r="94" spans="1:2">
      <c r="A94" t="s">
        <v>324</v>
      </c>
      <c r="B94">
        <v>8</v>
      </c>
    </row>
    <row r="95" spans="1:2">
      <c r="A95" t="s">
        <v>325</v>
      </c>
      <c r="B95">
        <v>8</v>
      </c>
    </row>
    <row r="97" spans="1:2">
      <c r="A97" s="36" t="s">
        <v>246</v>
      </c>
      <c r="B97" s="36" t="s">
        <v>247</v>
      </c>
    </row>
    <row r="98" spans="1:2">
      <c r="A98" t="s">
        <v>326</v>
      </c>
      <c r="B98">
        <v>9</v>
      </c>
    </row>
    <row r="99" spans="1:2">
      <c r="A99" t="s">
        <v>327</v>
      </c>
      <c r="B99">
        <v>9</v>
      </c>
    </row>
    <row r="100" spans="1:2">
      <c r="A100" t="s">
        <v>328</v>
      </c>
      <c r="B100">
        <v>9</v>
      </c>
    </row>
    <row r="101" spans="1:2">
      <c r="A101" t="s">
        <v>329</v>
      </c>
      <c r="B101">
        <v>9</v>
      </c>
    </row>
    <row r="102" spans="1:2">
      <c r="A102" t="s">
        <v>330</v>
      </c>
      <c r="B102">
        <v>9</v>
      </c>
    </row>
    <row r="103" spans="1:2">
      <c r="A103" t="s">
        <v>331</v>
      </c>
      <c r="B103">
        <v>9</v>
      </c>
    </row>
    <row r="104" spans="1:2">
      <c r="A104" t="s">
        <v>332</v>
      </c>
      <c r="B104">
        <v>9</v>
      </c>
    </row>
    <row r="105" spans="1:2">
      <c r="A105" t="s">
        <v>333</v>
      </c>
      <c r="B105">
        <v>9</v>
      </c>
    </row>
    <row r="106" spans="1:2">
      <c r="A106" t="s">
        <v>334</v>
      </c>
      <c r="B106">
        <v>9</v>
      </c>
    </row>
    <row r="107" spans="1:2">
      <c r="A107" t="s">
        <v>335</v>
      </c>
      <c r="B107">
        <v>9</v>
      </c>
    </row>
    <row r="109" spans="1:2">
      <c r="A109" s="36" t="s">
        <v>246</v>
      </c>
      <c r="B109" s="36" t="s">
        <v>247</v>
      </c>
    </row>
    <row r="110" spans="1:2">
      <c r="A110" t="s">
        <v>336</v>
      </c>
      <c r="B110">
        <v>10</v>
      </c>
    </row>
    <row r="111" spans="1:2">
      <c r="A111" t="s">
        <v>337</v>
      </c>
      <c r="B111">
        <v>10</v>
      </c>
    </row>
    <row r="112" spans="1:2">
      <c r="A112" t="s">
        <v>338</v>
      </c>
      <c r="B112">
        <v>10</v>
      </c>
    </row>
    <row r="113" spans="1:2">
      <c r="A113" t="s">
        <v>339</v>
      </c>
      <c r="B113">
        <v>10</v>
      </c>
    </row>
    <row r="114" spans="1:2">
      <c r="A114" t="s">
        <v>340</v>
      </c>
      <c r="B114">
        <v>10</v>
      </c>
    </row>
    <row r="115" spans="1:2">
      <c r="A115" t="s">
        <v>341</v>
      </c>
      <c r="B115">
        <v>10</v>
      </c>
    </row>
    <row r="116" spans="1:2">
      <c r="A116" t="s">
        <v>342</v>
      </c>
      <c r="B116">
        <v>10</v>
      </c>
    </row>
    <row r="117" spans="1:2">
      <c r="A117" t="s">
        <v>343</v>
      </c>
      <c r="B117">
        <v>10</v>
      </c>
    </row>
    <row r="118" spans="1:2">
      <c r="A118" t="s">
        <v>344</v>
      </c>
      <c r="B118">
        <v>10</v>
      </c>
    </row>
    <row r="119" spans="1:2">
      <c r="A119" t="s">
        <v>345</v>
      </c>
      <c r="B119">
        <v>10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Guest Input</vt:lpstr>
      <vt:lpstr>Table Assignments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Rohith Venkatesh</dc:creator>
  <cp:lastModifiedBy>Rohith Venkatesh</cp:lastModifiedBy>
  <dcterms:created xsi:type="dcterms:W3CDTF">2023-07-25T18:57:03Z</dcterms:created>
  <dcterms:modified xsi:type="dcterms:W3CDTF">2023-08-17T06:03:21Z</dcterms:modified>
</cp:coreProperties>
</file>